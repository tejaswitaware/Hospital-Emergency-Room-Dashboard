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L\Desktop\Excel dataset\Projects\"/>
    </mc:Choice>
  </mc:AlternateContent>
  <bookViews>
    <workbookView xWindow="0" yWindow="0" windowWidth="11820" windowHeight="6975" activeTab="1"/>
  </bookViews>
  <sheets>
    <sheet name="pivot report" sheetId="1" r:id="rId1"/>
    <sheet name="Dasboard" sheetId="2" r:id="rId2"/>
    <sheet name=" daily patients of eme room" sheetId="3" r:id="rId3"/>
    <sheet name="Average Waittime daily trend" sheetId="4" r:id="rId4"/>
    <sheet name="Satisfaction score daily Trend" sheetId="5" r:id="rId5"/>
  </sheets>
  <definedNames>
    <definedName name="Slicer_Date__Month">#N/A</definedName>
    <definedName name="Slicer_Date__Year">#N/A</definedName>
  </definedNames>
  <calcPr calcId="162913"/>
  <pivotCaches>
    <pivotCache cacheId="675" r:id="rId6"/>
    <pivotCache cacheId="678" r:id="rId7"/>
    <pivotCache cacheId="681" r:id="rId8"/>
    <pivotCache cacheId="684" r:id="rId9"/>
    <pivotCache cacheId="687" r:id="rId10"/>
    <pivotCache cacheId="690" r:id="rId11"/>
    <pivotCache cacheId="693" r:id="rId12"/>
    <pivotCache cacheId="696" r:id="rId13"/>
    <pivotCache cacheId="699" r:id="rId14"/>
    <pivotCache cacheId="702" r:id="rId15"/>
    <pivotCache cacheId="705" r:id="rId16"/>
    <pivotCache cacheId="708" r:id="rId17"/>
  </pivotCaches>
  <extLst>
    <ext xmlns:x14="http://schemas.microsoft.com/office/spreadsheetml/2009/9/main" uri="{876F7934-8845-4945-9796-88D515C7AA90}">
      <x14:pivotCaches>
        <pivotCache cacheId="42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2079a0c-9fd2-4dda-b84e-e91ffd933ada" name="Hospital Emergency Room Data" connection="Query - Hospital Emergency Room Data"/>
          <x15:modelTable id="Calendar_table_6b78fbbd-6625-4171-b961-9ce66b2f232e" name="Calendar_table" connection="Query - Calendar_table"/>
        </x15:modelTables>
        <x15:modelRelationships>
          <x15:modelRelationship fromTable="Hospital Emergency Room Data" fromColumn="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B49" i="1" l="1"/>
  <c r="C49" i="1"/>
  <c r="B50" i="1"/>
  <c r="C50" i="1"/>
  <c r="A50" i="1"/>
  <c r="A49" i="1"/>
</calcChain>
</file>

<file path=xl/connections.xml><?xml version="1.0" encoding="utf-8"?>
<connections xmlns="http://schemas.openxmlformats.org/spreadsheetml/2006/main">
  <connection id="1" name="Query - Calendar_table" description="Connection to the 'Calendar_table' query in the workbook." type="100" refreshedVersion="6" minRefreshableVersion="5">
    <extLst>
      <ext xmlns:x15="http://schemas.microsoft.com/office/spreadsheetml/2010/11/main" uri="{DE250136-89BD-433C-8126-D09CA5730AF9}">
        <x15:connection id="8c0a4f75-464e-4aa4-9479-ca2d948cd294"/>
      </ext>
    </extLst>
  </connection>
  <connection id="2" name="Query - Hospital Emergency Room Data" description="Connection to the 'Hospital Emergency Room Data' query in the workbook." type="100" refreshedVersion="6" minRefreshableVersion="5">
    <extLst>
      <ext xmlns:x15="http://schemas.microsoft.com/office/spreadsheetml/2010/11/main" uri="{DE250136-89BD-433C-8126-D09CA5730AF9}">
        <x15:connection id="149e525a-1832-444d-96a3-d037a4e2bebf"/>
      </ext>
    </extLst>
  </connection>
  <connection id="3"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<sst xmlns="http://schemas.openxmlformats.org/spreadsheetml/2006/main" count="121" uniqueCount="72">
  <si>
    <t>Distinct Count of Patient Id</t>
  </si>
  <si>
    <t>No. of patients</t>
  </si>
  <si>
    <t>Average of Patient Waittime</t>
  </si>
  <si>
    <t>Average of Patient Satisfaction Score</t>
  </si>
  <si>
    <t>Grand Total</t>
  </si>
  <si>
    <t>Row Labels</t>
  </si>
  <si>
    <t>daily trends of No. of patients</t>
  </si>
  <si>
    <t>Average wait time</t>
  </si>
  <si>
    <t>Female</t>
  </si>
  <si>
    <t>None</t>
  </si>
  <si>
    <t>Not Admitted</t>
  </si>
  <si>
    <t>40-49</t>
  </si>
  <si>
    <t>delay</t>
  </si>
  <si>
    <t>50-59</t>
  </si>
  <si>
    <t>Male</t>
  </si>
  <si>
    <t>Admitted</t>
  </si>
  <si>
    <t>0-09</t>
  </si>
  <si>
    <t>ontime</t>
  </si>
  <si>
    <t>10-19</t>
  </si>
  <si>
    <t>General Practice</t>
  </si>
  <si>
    <t>20-29</t>
  </si>
  <si>
    <t>Orthopedics</t>
  </si>
  <si>
    <t>30-39</t>
  </si>
  <si>
    <t>Neurology</t>
  </si>
  <si>
    <t>70-79</t>
  </si>
  <si>
    <t>Satisfaction score daily trend</t>
  </si>
  <si>
    <t>60-69</t>
  </si>
  <si>
    <t>Physiotherapy</t>
  </si>
  <si>
    <t>Gastroenterology</t>
  </si>
  <si>
    <t>Cardiology</t>
  </si>
  <si>
    <t>Renal</t>
  </si>
  <si>
    <t>Count of Patient Admission Flag</t>
  </si>
  <si>
    <t>Count of Patient Admission Flag2</t>
  </si>
  <si>
    <t>Admission Status</t>
  </si>
  <si>
    <t>% Status</t>
  </si>
  <si>
    <t xml:space="preserve"> Patients</t>
  </si>
  <si>
    <t>Count of Age group</t>
  </si>
  <si>
    <t>No. of Patients by Age group wise analysis</t>
  </si>
  <si>
    <t>Count of patient attend status</t>
  </si>
  <si>
    <t>Count of Patient Gender</t>
  </si>
  <si>
    <t>Count of Department Referral</t>
  </si>
  <si>
    <t>2023</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</si>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</sst>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theme="1" tint="0.249977111117893"/>
      <name val="Calibri"/>
      <family val="2"/>
      <scheme val="minor"/>
    </font>
    <font>
      <sz val="11"/>
      <color theme="1"/>
      <name val="Calibri"/>
      <family val="2"/>
      <scheme val="minor"/>
    </font>
    <font>
      <sz val="11"/>
      <color theme="0"/>
      <name val="Calibri"/>
      <family val="2"/>
      <scheme val="minor"/>
    </font>
    <font>
      <sz val="10.5"/>
      <color rgb="FF000000"/>
      <name val="Calibri"/>
      <family val="2"/>
      <scheme val="minor"/>
    </font>
  </fonts>
  <fills count="4">
    <fill>
      <patternFill patternType="none"/>
    </fill>
    <fill>
      <patternFill patternType="gray125"/>
    </fill>
    <fill>
      <patternFill patternType="solid">
        <fgColor theme="1" tint="0.249977111117893"/>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0" fontId="0" fillId="0" borderId="0" xfId="0" applyNumberFormat="1"/>
    <xf numFmtId="0" fontId="1" fillId="2" borderId="0" xfId="0" applyFont="1" applyFill="1"/>
    <xf numFmtId="2" fontId="0" fillId="0" borderId="0" xfId="0" applyNumberFormat="1"/>
    <xf numFmtId="0" fontId="1" fillId="0" borderId="0" xfId="0" applyFont="1" applyFill="1"/>
    <xf numFmtId="0" fontId="0" fillId="0" borderId="0" xfId="0" applyFill="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3" borderId="0" xfId="0" applyFill="1"/>
    <xf numFmtId="0" fontId="0" fillId="0" borderId="0" xfId="0" applyAlignment="1">
      <alignment horizontal="center"/>
    </xf>
    <xf numFmtId="9" fontId="0" fillId="0" borderId="0" xfId="1" applyFont="1" applyAlignment="1">
      <alignment horizontal="center"/>
    </xf>
    <xf numFmtId="0" fontId="3" fillId="3" borderId="0" xfId="0" applyFont="1" applyFill="1" applyAlignment="1">
      <alignment horizontal="center"/>
    </xf>
    <xf numFmtId="0" fontId="3" fillId="3" borderId="0" xfId="0" applyFont="1" applyFill="1"/>
    <xf numFmtId="0" fontId="4" fillId="0" borderId="0" xfId="0" applyFont="1" applyAlignment="1">
      <alignment horizontal="center" vertical="center"/>
    </xf>
    <xf numFmtId="14" fontId="0" fillId="0" borderId="0" xfId="0" applyNumberFormat="1" applyAlignment="1">
      <alignment horizontal="left"/>
    </xf>
  </cellXfs>
  <cellStyles count="2">
    <cellStyle name="Normal" xfId="0" builtinId="0"/>
    <cellStyle name="Percent" xfId="1" builtinId="5"/>
  </cellStyles>
  <dxfs count="2113">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0" formatCode="0.0"/>
    </dxf>
    <dxf>
      <numFmt numFmtId="1" formatCode="0"/>
    </dxf>
    <dxf>
      <numFmt numFmtId="170" formatCode="0.0"/>
    </dxf>
    <dxf>
      <numFmt numFmtId="2" formatCode="0.00"/>
    </dxf>
    <dxf>
      <numFmt numFmtId="0" formatCode="General"/>
    </dxf>
    <dxf>
      <numFmt numFmtId="2" formatCode="0.00"/>
    </dxf>
    <dxf>
      <numFmt numFmtId="170" formatCode="0.0"/>
    </dxf>
    <dxf>
      <numFmt numFmtId="1" formatCode="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4" formatCode="0.00%"/>
    </dxf>
    <dxf>
      <numFmt numFmtId="1" formatCode="0"/>
    </dxf>
    <dxf>
      <numFmt numFmtId="170" formatCode="0.0"/>
    </dxf>
    <dxf>
      <numFmt numFmtId="2" formatCode="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numFmt numFmtId="171" formatCode="0.000000000"/>
    </dxf>
    <dxf>
      <numFmt numFmtId="172" formatCode="0.0000000000"/>
    </dxf>
    <dxf>
      <numFmt numFmtId="171" formatCode="0.000000000"/>
    </dxf>
    <dxf>
      <numFmt numFmtId="164" formatCode="0.00000000"/>
    </dxf>
    <dxf>
      <numFmt numFmtId="165" formatCode="0.0000000"/>
    </dxf>
    <dxf>
      <numFmt numFmtId="166" formatCode="0.000000"/>
    </dxf>
    <dxf>
      <numFmt numFmtId="167" formatCode="0.00000"/>
    </dxf>
    <dxf>
      <numFmt numFmtId="168" formatCode="0.0000"/>
    </dxf>
    <dxf>
      <numFmt numFmtId="169" formatCode="0.000"/>
    </dxf>
    <dxf>
      <numFmt numFmtId="2" formatCode="0.00"/>
    </dxf>
    <dxf>
      <font>
        <b/>
        <color theme="1"/>
      </font>
      <border>
        <bottom style="thin">
          <color theme="4"/>
        </bottom>
        <vertical/>
        <horizontal/>
      </border>
    </dxf>
    <dxf>
      <font>
        <color theme="1"/>
      </font>
      <fill>
        <patternFill patternType="solid">
          <bgColor theme="0" tint="-0.24994659260841701"/>
        </patternFill>
      </fill>
      <border diagonalUp="0" diagonalDown="0">
        <left/>
        <right/>
        <top/>
        <bottom/>
        <vertical/>
        <horizontal/>
      </border>
    </dxf>
    <dxf>
      <font>
        <b/>
        <color theme="1"/>
      </font>
      <border>
        <bottom style="thin">
          <color theme="4"/>
        </bottom>
        <vertical/>
        <horizontal/>
      </border>
    </dxf>
    <dxf>
      <font>
        <b val="0"/>
        <i val="0"/>
        <sz val="14"/>
        <color theme="1"/>
      </font>
      <fill>
        <patternFill>
          <bgColor theme="0" tint="-0.24994659260841701"/>
        </patternFill>
      </fill>
      <border diagonalUp="0" diagonalDown="0">
        <left/>
        <right/>
        <top/>
        <bottom/>
        <vertical/>
        <horizontal/>
      </border>
    </dxf>
  </dxfs>
  <tableStyles count="2" defaultTableStyle="TableStyleMedium2" defaultPivotStyle="PivotStyleLight16">
    <tableStyle name="SlicerStyleLight1 2" pivot="0" table="0" count="10">
      <tableStyleElement type="wholeTable" dxfId="2112"/>
      <tableStyleElement type="headerRow" dxfId="2111"/>
    </tableStyle>
    <tableStyle name="SlicerStyleLight1 3" pivot="0" table="0" count="10">
      <tableStyleElement type="wholeTable" dxfId="2110"/>
      <tableStyleElement type="headerRow" dxfId="2109"/>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50800" dir="5400000" algn="ctr" rotWithShape="0">
              <a:schemeClr val="bg1"/>
            </a:outerShdw>
          </a:effectLst>
        </c:spPr>
        <c:marker>
          <c:symbol val="none"/>
        </c:marker>
      </c:pivotFmt>
      <c:pivotFmt>
        <c:idx val="4"/>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247067567881444E-2"/>
          <c:y val="7.8044974107966247E-3"/>
          <c:w val="0.76270503224134023"/>
          <c:h val="0.68176491452082"/>
        </c:manualLayout>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noFill/>
            </a:ln>
            <a:effectLst/>
          </c:spPr>
          <c:invertIfNegative val="0"/>
          <c:dPt>
            <c:idx val="0"/>
            <c:invertIfNegative val="0"/>
            <c:bubble3D val="0"/>
          </c:dPt>
          <c:dPt>
            <c:idx val="1"/>
            <c:invertIfNegative val="0"/>
            <c:bubble3D val="0"/>
          </c:dPt>
          <c:cat>
            <c:strRef>
              <c:f>'pivot report'!$A$42:$A$44</c:f>
              <c:strCache>
                <c:ptCount val="2"/>
                <c:pt idx="0">
                  <c:v>Admitted</c:v>
                </c:pt>
                <c:pt idx="1">
                  <c:v>Not Admitted</c:v>
                </c:pt>
              </c:strCache>
            </c:strRef>
          </c:cat>
          <c:val>
            <c:numRef>
              <c:f>'pivot report'!$B$42:$B$44</c:f>
              <c:numCache>
                <c:formatCode>0.00</c:formatCode>
                <c:ptCount val="2"/>
                <c:pt idx="0">
                  <c:v>237</c:v>
                </c:pt>
                <c:pt idx="1">
                  <c:v>242</c:v>
                </c:pt>
              </c:numCache>
            </c:numRef>
          </c:val>
          <c:extLst>
            <c:ext xmlns:c16="http://schemas.microsoft.com/office/drawing/2014/chart" uri="{C3380CC4-5D6E-409C-BE32-E72D297353CC}">
              <c16:uniqueId val="{00000006-F51D-4B0B-83B4-B139C5BD7AA7}"/>
            </c:ext>
          </c:extLst>
        </c:ser>
        <c:ser>
          <c:idx val="1"/>
          <c:order val="1"/>
          <c:tx>
            <c:strRef>
              <c:f>'pivot report'!$C$41</c:f>
              <c:strCache>
                <c:ptCount val="1"/>
                <c:pt idx="0">
                  <c:v>Count of Patient Admission Flag2</c:v>
                </c:pt>
              </c:strCache>
            </c:strRef>
          </c:tx>
          <c:spPr>
            <a:solidFill>
              <a:schemeClr val="accent2"/>
            </a:solidFill>
            <a:ln>
              <a:noFill/>
            </a:ln>
            <a:effectLst>
              <a:outerShdw blurRad="50800" dist="50800" dir="5400000" algn="ctr" rotWithShape="0">
                <a:schemeClr val="bg1"/>
              </a:outerShdw>
            </a:effectLst>
          </c:spPr>
          <c:invertIfNegative val="0"/>
          <c:cat>
            <c:strRef>
              <c:f>'pivot report'!$A$42:$A$44</c:f>
              <c:strCache>
                <c:ptCount val="2"/>
                <c:pt idx="0">
                  <c:v>Admitted</c:v>
                </c:pt>
                <c:pt idx="1">
                  <c:v>Not Admitted</c:v>
                </c:pt>
              </c:strCache>
            </c:strRef>
          </c:cat>
          <c:val>
            <c:numRef>
              <c:f>'pivot report'!$C$42:$C$44</c:f>
              <c:numCache>
                <c:formatCode>0.00%</c:formatCode>
                <c:ptCount val="2"/>
                <c:pt idx="0">
                  <c:v>0.49478079331941544</c:v>
                </c:pt>
                <c:pt idx="1">
                  <c:v>0.50521920668058451</c:v>
                </c:pt>
              </c:numCache>
            </c:numRef>
          </c:val>
          <c:extLst>
            <c:ext xmlns:c16="http://schemas.microsoft.com/office/drawing/2014/chart" uri="{C3380CC4-5D6E-409C-BE32-E72D297353CC}">
              <c16:uniqueId val="{00000007-F51D-4B0B-83B4-B139C5BD7AA7}"/>
            </c:ext>
          </c:extLst>
        </c:ser>
        <c:dLbls>
          <c:showLegendKey val="0"/>
          <c:showVal val="0"/>
          <c:showCatName val="0"/>
          <c:showSerName val="0"/>
          <c:showPercent val="0"/>
          <c:showBubbleSize val="0"/>
        </c:dLbls>
        <c:gapWidth val="12"/>
        <c:axId val="726460472"/>
        <c:axId val="726462768"/>
      </c:barChart>
      <c:catAx>
        <c:axId val="726460472"/>
        <c:scaling>
          <c:orientation val="minMax"/>
        </c:scaling>
        <c:delete val="1"/>
        <c:axPos val="l"/>
        <c:numFmt formatCode="General" sourceLinked="1"/>
        <c:majorTickMark val="none"/>
        <c:minorTickMark val="none"/>
        <c:tickLblPos val="nextTo"/>
        <c:crossAx val="726462768"/>
        <c:crosses val="autoZero"/>
        <c:auto val="1"/>
        <c:lblAlgn val="ctr"/>
        <c:lblOffset val="100"/>
        <c:noMultiLvlLbl val="0"/>
      </c:catAx>
      <c:valAx>
        <c:axId val="726462768"/>
        <c:scaling>
          <c:orientation val="minMax"/>
        </c:scaling>
        <c:delete val="1"/>
        <c:axPos val="b"/>
        <c:numFmt formatCode="0.00" sourceLinked="1"/>
        <c:majorTickMark val="none"/>
        <c:minorTickMark val="none"/>
        <c:tickLblPos val="nextTo"/>
        <c:crossAx val="7264604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s>
    <c:plotArea>
      <c:layout>
        <c:manualLayout>
          <c:layoutTarget val="inner"/>
          <c:xMode val="edge"/>
          <c:yMode val="edge"/>
          <c:x val="5.7004999274569319E-2"/>
          <c:y val="0.2622032662583843"/>
          <c:w val="0.9244764687055036"/>
          <c:h val="0.51170749489647127"/>
        </c:manualLayout>
      </c:layout>
      <c:areaChart>
        <c:grouping val="standard"/>
        <c:varyColors val="0"/>
        <c:ser>
          <c:idx val="0"/>
          <c:order val="0"/>
          <c:tx>
            <c:strRef>
              <c:f>'pivot report'!$M$5</c:f>
              <c:strCache>
                <c:ptCount val="1"/>
                <c:pt idx="0">
                  <c:v>Total</c:v>
                </c:pt>
              </c:strCache>
            </c:strRef>
          </c:tx>
          <c:spPr>
            <a:solidFill>
              <a:schemeClr val="accent1"/>
            </a:solidFill>
            <a:ln w="25400">
              <a:noFill/>
            </a:ln>
            <a:effectLst/>
          </c:spPr>
          <c:cat>
            <c:strRef>
              <c:f>'pivot report'!$L$6:$L$36</c:f>
              <c:strCache>
                <c:ptCount val="30"/>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strCache>
            </c:strRef>
          </c:cat>
          <c:val>
            <c:numRef>
              <c:f>'pivot report'!$M$6:$M$36</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2-2F8F-47B2-BEAF-5001176F478A}"/>
            </c:ext>
          </c:extLst>
        </c:ser>
        <c:dLbls>
          <c:showLegendKey val="0"/>
          <c:showVal val="0"/>
          <c:showCatName val="0"/>
          <c:showSerName val="0"/>
          <c:showPercent val="0"/>
          <c:showBubbleSize val="0"/>
        </c:dLbls>
        <c:axId val="637090616"/>
        <c:axId val="637092256"/>
      </c:areaChart>
      <c:catAx>
        <c:axId val="637090616"/>
        <c:scaling>
          <c:orientation val="minMax"/>
        </c:scaling>
        <c:delete val="1"/>
        <c:axPos val="b"/>
        <c:numFmt formatCode="General" sourceLinked="1"/>
        <c:majorTickMark val="out"/>
        <c:minorTickMark val="none"/>
        <c:tickLblPos val="nextTo"/>
        <c:crossAx val="637092256"/>
        <c:crosses val="autoZero"/>
        <c:auto val="1"/>
        <c:lblAlgn val="ctr"/>
        <c:lblOffset val="100"/>
        <c:noMultiLvlLbl val="0"/>
      </c:catAx>
      <c:valAx>
        <c:axId val="637092256"/>
        <c:scaling>
          <c:orientation val="minMax"/>
        </c:scaling>
        <c:delete val="1"/>
        <c:axPos val="l"/>
        <c:numFmt formatCode="General" sourceLinked="1"/>
        <c:majorTickMark val="none"/>
        <c:minorTickMark val="none"/>
        <c:tickLblPos val="nextTo"/>
        <c:crossAx val="637090616"/>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s>
    <c:plotArea>
      <c:layout>
        <c:manualLayout>
          <c:layoutTarget val="inner"/>
          <c:xMode val="edge"/>
          <c:yMode val="edge"/>
          <c:x val="6.7940552016985137E-2"/>
          <c:y val="0.15874905467325059"/>
          <c:w val="0.84713375796178347"/>
          <c:h val="0.62530539614751557"/>
        </c:manualLayout>
      </c:layout>
      <c:areaChart>
        <c:grouping val="standard"/>
        <c:varyColors val="0"/>
        <c:ser>
          <c:idx val="0"/>
          <c:order val="0"/>
          <c:tx>
            <c:strRef>
              <c:f>'pivot report'!$P$5</c:f>
              <c:strCache>
                <c:ptCount val="1"/>
                <c:pt idx="0">
                  <c:v>Total</c:v>
                </c:pt>
              </c:strCache>
            </c:strRef>
          </c:tx>
          <c:spPr>
            <a:solidFill>
              <a:schemeClr val="accent1"/>
            </a:solidFill>
            <a:ln w="25400">
              <a:noFill/>
            </a:ln>
            <a:effectLst/>
          </c:spPr>
          <c:cat>
            <c:strRef>
              <c:f>'pivot report'!$O$6:$O$36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report'!$P$6:$P$36</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2-D8CE-4498-BE82-C5FE9A97E892}"/>
            </c:ext>
          </c:extLst>
        </c:ser>
        <c:dLbls>
          <c:showLegendKey val="0"/>
          <c:showVal val="0"/>
          <c:showCatName val="0"/>
          <c:showSerName val="0"/>
          <c:showPercent val="0"/>
          <c:showBubbleSize val="0"/>
        </c:dLbls>
        <c:axId val="731732248"/>
        <c:axId val="731729952"/>
      </c:areaChart>
      <c:catAx>
        <c:axId val="731732248"/>
        <c:scaling>
          <c:orientation val="minMax"/>
        </c:scaling>
        <c:delete val="1"/>
        <c:axPos val="b"/>
        <c:numFmt formatCode="General" sourceLinked="1"/>
        <c:majorTickMark val="out"/>
        <c:minorTickMark val="none"/>
        <c:tickLblPos val="nextTo"/>
        <c:crossAx val="731729952"/>
        <c:crosses val="autoZero"/>
        <c:auto val="1"/>
        <c:lblAlgn val="ctr"/>
        <c:lblOffset val="100"/>
        <c:noMultiLvlLbl val="0"/>
      </c:catAx>
      <c:valAx>
        <c:axId val="731729952"/>
        <c:scaling>
          <c:orientation val="minMax"/>
        </c:scaling>
        <c:delete val="1"/>
        <c:axPos val="l"/>
        <c:numFmt formatCode="0.00" sourceLinked="1"/>
        <c:majorTickMark val="none"/>
        <c:minorTickMark val="none"/>
        <c:tickLblPos val="nextTo"/>
        <c:crossAx val="731732248"/>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1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s>
    <c:plotArea>
      <c:layout>
        <c:manualLayout>
          <c:layoutTarget val="inner"/>
          <c:xMode val="edge"/>
          <c:yMode val="edge"/>
          <c:x val="8.2304526748971193E-2"/>
          <c:y val="7.2435514526201464E-2"/>
          <c:w val="0.8271604938271605"/>
          <c:h val="0.77054937098379939"/>
        </c:manualLayout>
      </c:layout>
      <c:areaChart>
        <c:grouping val="standard"/>
        <c:varyColors val="0"/>
        <c:ser>
          <c:idx val="0"/>
          <c:order val="0"/>
          <c:tx>
            <c:strRef>
              <c:f>'pivot report'!$S$5</c:f>
              <c:strCache>
                <c:ptCount val="1"/>
                <c:pt idx="0">
                  <c:v>Total</c:v>
                </c:pt>
              </c:strCache>
            </c:strRef>
          </c:tx>
          <c:spPr>
            <a:solidFill>
              <a:schemeClr val="accent1"/>
            </a:solidFill>
            <a:ln w="25400">
              <a:noFill/>
            </a:ln>
            <a:effectLst/>
          </c:spPr>
          <c:cat>
            <c:strRef>
              <c:f>'pivot report'!$R$6:$R$36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report'!$S$6:$S$36</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2-7960-4D5F-B87A-D149C20240AF}"/>
            </c:ext>
          </c:extLst>
        </c:ser>
        <c:dLbls>
          <c:showLegendKey val="0"/>
          <c:showVal val="0"/>
          <c:showCatName val="0"/>
          <c:showSerName val="0"/>
          <c:showPercent val="0"/>
          <c:showBubbleSize val="0"/>
        </c:dLbls>
        <c:axId val="646503224"/>
        <c:axId val="646503552"/>
      </c:areaChart>
      <c:catAx>
        <c:axId val="646503224"/>
        <c:scaling>
          <c:orientation val="minMax"/>
        </c:scaling>
        <c:delete val="1"/>
        <c:axPos val="b"/>
        <c:numFmt formatCode="General" sourceLinked="1"/>
        <c:majorTickMark val="out"/>
        <c:minorTickMark val="none"/>
        <c:tickLblPos val="nextTo"/>
        <c:crossAx val="646503552"/>
        <c:crosses val="autoZero"/>
        <c:auto val="1"/>
        <c:lblAlgn val="ctr"/>
        <c:lblOffset val="100"/>
        <c:noMultiLvlLbl val="0"/>
      </c:catAx>
      <c:valAx>
        <c:axId val="646503552"/>
        <c:scaling>
          <c:orientation val="minMax"/>
        </c:scaling>
        <c:delete val="1"/>
        <c:axPos val="l"/>
        <c:numFmt formatCode="0.00" sourceLinked="1"/>
        <c:majorTickMark val="none"/>
        <c:minorTickMark val="none"/>
        <c:tickLblPos val="nextTo"/>
        <c:crossAx val="646503224"/>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5920980891881277E-3"/>
          <c:y val="7.7476029781991538E-3"/>
          <c:w val="0.98728821940735656"/>
          <c:h val="0.75462653443171079"/>
        </c:manualLayout>
      </c:layout>
      <c:barChart>
        <c:barDir val="col"/>
        <c:grouping val="clustered"/>
        <c:varyColors val="0"/>
        <c:ser>
          <c:idx val="0"/>
          <c:order val="0"/>
          <c:tx>
            <c:strRef>
              <c:f>'pivot report'!$B$53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2-5B68-44E8-9BFD-D3051A858A34}"/>
            </c:ext>
          </c:extLst>
        </c:ser>
        <c:dLbls>
          <c:dLblPos val="outEnd"/>
          <c:showLegendKey val="0"/>
          <c:showVal val="1"/>
          <c:showCatName val="0"/>
          <c:showSerName val="0"/>
          <c:showPercent val="0"/>
          <c:showBubbleSize val="0"/>
        </c:dLbls>
        <c:gapWidth val="219"/>
        <c:overlap val="-27"/>
        <c:axId val="638168664"/>
        <c:axId val="638162104"/>
      </c:barChart>
      <c:catAx>
        <c:axId val="638168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38162104"/>
        <c:crosses val="autoZero"/>
        <c:auto val="1"/>
        <c:lblAlgn val="ctr"/>
        <c:lblOffset val="100"/>
        <c:noMultiLvlLbl val="0"/>
      </c:catAx>
      <c:valAx>
        <c:axId val="638162104"/>
        <c:scaling>
          <c:orientation val="minMax"/>
        </c:scaling>
        <c:delete val="1"/>
        <c:axPos val="l"/>
        <c:numFmt formatCode="0" sourceLinked="1"/>
        <c:majorTickMark val="none"/>
        <c:minorTickMark val="none"/>
        <c:tickLblPos val="nextTo"/>
        <c:crossAx val="638168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10"/>
  </c:pivotSource>
  <c:chart>
    <c:autoTitleDeleted val="1"/>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a:solidFill>
              <a:schemeClr val="lt1">
                <a:shade val="50000"/>
              </a:schemeClr>
            </a:solidFill>
          </a:ln>
          <a:effectLst>
            <a:outerShdw blurRad="254000" sx="102000" sy="102000" algn="ctr" rotWithShape="0">
              <a:prstClr val="black">
                <a:alpha val="20000"/>
              </a:prstClr>
            </a:outerShdw>
          </a:effectLst>
        </c:spPr>
        <c:marker>
          <c:symbol val="none"/>
        </c:marker>
        <c:dLbl>
          <c:idx val="0"/>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solidFill>
              <a:schemeClr val="lt1">
                <a:shade val="50000"/>
              </a:schemeClr>
            </a:solidFill>
          </a:ln>
          <a:effectLst>
            <a:outerShdw blurRad="254000" sx="102000" sy="102000" algn="ctr" rotWithShape="0">
              <a:prstClr val="black">
                <a:alpha val="20000"/>
              </a:prstClr>
            </a:outerShdw>
          </a:effectLst>
        </c:spPr>
      </c:pivotFmt>
    </c:pivotFmts>
    <c:plotArea>
      <c:layout>
        <c:manualLayout>
          <c:layoutTarget val="inner"/>
          <c:xMode val="edge"/>
          <c:yMode val="edge"/>
          <c:x val="0.2329170603674541"/>
          <c:y val="0.1546305045202683"/>
          <c:w val="0.59416587926509201"/>
          <c:h val="0.66018431029454661"/>
        </c:manualLayout>
      </c:layout>
      <c:pieChart>
        <c:varyColors val="1"/>
        <c:ser>
          <c:idx val="0"/>
          <c:order val="0"/>
          <c:tx>
            <c:strRef>
              <c:f>'pivot report'!$G$53</c:f>
              <c:strCache>
                <c:ptCount val="1"/>
                <c:pt idx="0">
                  <c:v>Total</c:v>
                </c:pt>
              </c:strCache>
            </c:strRef>
          </c:tx>
          <c:spPr>
            <a:ln>
              <a:solidFill>
                <a:schemeClr val="lt1">
                  <a:shade val="50000"/>
                </a:schemeClr>
              </a:solidFill>
            </a:ln>
          </c:spPr>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solidFill>
                  <a:schemeClr val="lt1">
                    <a:shade val="50000"/>
                  </a:schemeClr>
                </a:solidFill>
              </a:ln>
              <a:effectLst>
                <a:outerShdw blurRad="254000" sx="102000" sy="102000" algn="ctr" rotWithShape="0">
                  <a:prstClr val="black">
                    <a:alpha val="20000"/>
                  </a:prstClr>
                </a:outerShdw>
              </a:effectLst>
            </c:spPr>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report'!$F$54:$F$56</c:f>
              <c:strCache>
                <c:ptCount val="2"/>
                <c:pt idx="0">
                  <c:v>delay</c:v>
                </c:pt>
                <c:pt idx="1">
                  <c:v>ontime</c:v>
                </c:pt>
              </c:strCache>
            </c:strRef>
          </c:cat>
          <c:val>
            <c:numRef>
              <c:f>'pivot report'!$G$54:$G$56</c:f>
              <c:numCache>
                <c:formatCode>0</c:formatCode>
                <c:ptCount val="2"/>
                <c:pt idx="0">
                  <c:v>273</c:v>
                </c:pt>
                <c:pt idx="1">
                  <c:v>206</c:v>
                </c:pt>
              </c:numCache>
            </c:numRef>
          </c:val>
          <c:extLst>
            <c:ext xmlns:c16="http://schemas.microsoft.com/office/drawing/2014/chart" uri="{C3380CC4-5D6E-409C-BE32-E72D297353CC}">
              <c16:uniqueId val="{00000006-FD8F-4DD2-9DA4-5DE49790E96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13"/>
  </c:pivotSource>
  <c:chart>
    <c:autoTitleDeleted val="1"/>
    <c:pivotFmts>
      <c:pivotFmt>
        <c:idx val="0"/>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0.21880824302902732"/>
          <c:y val="0.17815609255739584"/>
          <c:w val="0.57307034640471921"/>
          <c:h val="0.66528856306754758"/>
        </c:manualLayout>
      </c:layout>
      <c:doughnutChart>
        <c:varyColors val="1"/>
        <c:ser>
          <c:idx val="0"/>
          <c:order val="0"/>
          <c:tx>
            <c:strRef>
              <c:f>'pivot report'!$G$61</c:f>
              <c:strCache>
                <c:ptCount val="1"/>
                <c:pt idx="0">
                  <c:v>Total</c:v>
                </c:pt>
              </c:strCache>
            </c:strRef>
          </c:tx>
          <c:spPr>
            <a:ln>
              <a:noFill/>
            </a:ln>
            <a:effectLst/>
          </c:spPr>
          <c:dPt>
            <c:idx val="0"/>
            <c:bubble3D val="0"/>
            <c:spPr>
              <a:solidFill>
                <a:schemeClr val="accent1"/>
              </a:solidFill>
              <a:ln w="19050">
                <a:noFill/>
              </a:ln>
              <a:effectLst/>
            </c:spPr>
          </c:dPt>
          <c:dPt>
            <c:idx val="1"/>
            <c:bubble3D val="0"/>
            <c:spPr>
              <a:solidFill>
                <a:schemeClr val="accent2"/>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report'!$F$62:$F$64</c:f>
              <c:strCache>
                <c:ptCount val="2"/>
                <c:pt idx="0">
                  <c:v>Female</c:v>
                </c:pt>
                <c:pt idx="1">
                  <c:v>Male</c:v>
                </c:pt>
              </c:strCache>
            </c:strRef>
          </c:cat>
          <c:val>
            <c:numRef>
              <c:f>'pivot report'!$G$62:$G$64</c:f>
              <c:numCache>
                <c:formatCode>0</c:formatCode>
                <c:ptCount val="2"/>
                <c:pt idx="0">
                  <c:v>235</c:v>
                </c:pt>
                <c:pt idx="1">
                  <c:v>244</c:v>
                </c:pt>
              </c:numCache>
            </c:numRef>
          </c:val>
          <c:extLst>
            <c:ext xmlns:c16="http://schemas.microsoft.com/office/drawing/2014/chart" uri="{C3380CC4-5D6E-409C-BE32-E72D297353CC}">
              <c16:uniqueId val="{00000006-E9CE-4A2E-8D00-B92DCE737B26}"/>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0.20303682336737611"/>
          <c:y val="4.5977011494252873E-2"/>
          <c:w val="0.51471843247316862"/>
          <c:h val="0.129311249886867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1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5248348695749523"/>
          <c:y val="2.7491408934707903E-2"/>
          <c:w val="0.74119739771865012"/>
          <c:h val="0.84879725085910651"/>
        </c:manualLayout>
      </c:layout>
      <c:barChart>
        <c:barDir val="bar"/>
        <c:grouping val="clustered"/>
        <c:varyColors val="0"/>
        <c:ser>
          <c:idx val="0"/>
          <c:order val="0"/>
          <c:tx>
            <c:strRef>
              <c:f>'pivot report'!$G$68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report'!$F$69:$F$77</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report'!$G$69:$G$77</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2-C732-49BC-9996-AD00FDE760EC}"/>
            </c:ext>
          </c:extLst>
        </c:ser>
        <c:dLbls>
          <c:dLblPos val="outEnd"/>
          <c:showLegendKey val="0"/>
          <c:showVal val="1"/>
          <c:showCatName val="0"/>
          <c:showSerName val="0"/>
          <c:showPercent val="0"/>
          <c:showBubbleSize val="0"/>
        </c:dLbls>
        <c:gapWidth val="33"/>
        <c:overlap val="-12"/>
        <c:axId val="738912672"/>
        <c:axId val="738917264"/>
      </c:barChart>
      <c:catAx>
        <c:axId val="73891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8917264"/>
        <c:crosses val="autoZero"/>
        <c:auto val="1"/>
        <c:lblAlgn val="ctr"/>
        <c:lblOffset val="100"/>
        <c:noMultiLvlLbl val="0"/>
      </c:catAx>
      <c:valAx>
        <c:axId val="738917264"/>
        <c:scaling>
          <c:orientation val="minMax"/>
        </c:scaling>
        <c:delete val="1"/>
        <c:axPos val="b"/>
        <c:numFmt formatCode="0" sourceLinked="1"/>
        <c:majorTickMark val="none"/>
        <c:minorTickMark val="none"/>
        <c:tickLblPos val="nextTo"/>
        <c:crossAx val="7389126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7"/>
  </c:pivotSource>
  <c:chart>
    <c:autoTitleDeleted val="1"/>
    <c:pivotFmts>
      <c:pivotFmt>
        <c:idx val="0"/>
      </c:pivotFmt>
      <c:pivotFmt>
        <c:idx val="1"/>
      </c:pivotFmt>
      <c:pivotFmt>
        <c:idx val="2"/>
      </c:pivotFmt>
      <c:pivotFmt>
        <c:idx val="3"/>
      </c:pivotFmt>
      <c:pivotFmt>
        <c:idx val="4"/>
      </c:pivotFmt>
      <c:pivotFmt>
        <c:idx val="5"/>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752850338152186E-2"/>
          <c:y val="0"/>
          <c:w val="0.87895985224069229"/>
          <c:h val="0.85273306254585612"/>
        </c:manualLayout>
      </c:layout>
      <c:areaChart>
        <c:grouping val="standard"/>
        <c:varyColors val="0"/>
        <c:ser>
          <c:idx val="0"/>
          <c:order val="0"/>
          <c:tx>
            <c:strRef>
              <c:f>'pivot report'!$M$5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report'!$L$6:$L$36</c:f>
              <c:strCache>
                <c:ptCount val="30"/>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strCache>
            </c:strRef>
          </c:cat>
          <c:val>
            <c:numRef>
              <c:f>'pivot report'!$M$6:$M$36</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2-C223-4EA2-98DC-57EAF3D7A16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37090616"/>
        <c:axId val="637092256"/>
      </c:areaChart>
      <c:catAx>
        <c:axId val="63709061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37092256"/>
        <c:crosses val="autoZero"/>
        <c:auto val="1"/>
        <c:lblAlgn val="ctr"/>
        <c:lblOffset val="100"/>
        <c:noMultiLvlLbl val="0"/>
      </c:catAx>
      <c:valAx>
        <c:axId val="637092256"/>
        <c:scaling>
          <c:orientation val="minMax"/>
        </c:scaling>
        <c:delete val="1"/>
        <c:axPos val="l"/>
        <c:numFmt formatCode="General" sourceLinked="1"/>
        <c:majorTickMark val="out"/>
        <c:minorTickMark val="none"/>
        <c:tickLblPos val="nextTo"/>
        <c:crossAx val="637090616"/>
        <c:crosses val="autoZero"/>
        <c:crossBetween val="midCat"/>
      </c:valAx>
      <c:spPr>
        <a:noFill/>
        <a:ln>
          <a:noFill/>
        </a:ln>
        <a:effectLst/>
      </c:spPr>
    </c:plotArea>
    <c:plotVisOnly val="1"/>
    <c:dispBlanksAs val="zero"/>
    <c:showDLblsOverMax val="0"/>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2"/>
  </c:pivotSource>
  <c:chart>
    <c:autoTitleDeleted val="1"/>
    <c:pivotFmts>
      <c:pivotFmt>
        <c:idx val="0"/>
      </c:pivotFmt>
      <c:pivotFmt>
        <c:idx val="1"/>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056568850113551E-2"/>
          <c:y val="4.7315650614911026E-2"/>
          <c:w val="0.93774051432897443"/>
          <c:h val="0.83995969544054672"/>
        </c:manualLayout>
      </c:layout>
      <c:areaChart>
        <c:grouping val="standard"/>
        <c:varyColors val="0"/>
        <c:ser>
          <c:idx val="0"/>
          <c:order val="0"/>
          <c:tx>
            <c:strRef>
              <c:f>'pivot report'!$P$5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report'!$O$6:$O$36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report'!$P$6:$P$36</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2-6504-4409-B536-38106E2A051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31732248"/>
        <c:axId val="731729952"/>
      </c:areaChart>
      <c:catAx>
        <c:axId val="7317322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31729952"/>
        <c:crosses val="autoZero"/>
        <c:auto val="1"/>
        <c:lblAlgn val="ctr"/>
        <c:lblOffset val="100"/>
        <c:noMultiLvlLbl val="0"/>
      </c:catAx>
      <c:valAx>
        <c:axId val="731729952"/>
        <c:scaling>
          <c:orientation val="minMax"/>
        </c:scaling>
        <c:delete val="1"/>
        <c:axPos val="l"/>
        <c:numFmt formatCode="0.00" sourceLinked="1"/>
        <c:majorTickMark val="out"/>
        <c:minorTickMark val="none"/>
        <c:tickLblPos val="nextTo"/>
        <c:crossAx val="731732248"/>
        <c:crosses val="autoZero"/>
        <c:crossBetween val="midCat"/>
      </c:valAx>
      <c:spPr>
        <a:noFill/>
        <a:ln>
          <a:noFill/>
        </a:ln>
        <a:effectLst/>
      </c:spPr>
    </c:plotArea>
    <c:plotVisOnly val="1"/>
    <c:dispBlanksAs val="zero"/>
    <c:showDLblsOverMax val="0"/>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12"/>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430071241094863E-2"/>
          <c:y val="6.6603488723201654E-2"/>
          <c:w val="0.95529904216518391"/>
          <c:h val="0.84534596892202618"/>
        </c:manualLayout>
      </c:layout>
      <c:areaChart>
        <c:grouping val="standard"/>
        <c:varyColors val="0"/>
        <c:ser>
          <c:idx val="0"/>
          <c:order val="0"/>
          <c:tx>
            <c:strRef>
              <c:f>'pivot report'!$S$5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report'!$R$6:$R$36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report'!$S$6:$S$36</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2-F3D7-4842-A2BD-B0BD6147900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46503224"/>
        <c:axId val="646503552"/>
      </c:areaChart>
      <c:catAx>
        <c:axId val="6465032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46503552"/>
        <c:crosses val="autoZero"/>
        <c:auto val="1"/>
        <c:lblAlgn val="ctr"/>
        <c:lblOffset val="100"/>
        <c:noMultiLvlLbl val="0"/>
      </c:catAx>
      <c:valAx>
        <c:axId val="646503552"/>
        <c:scaling>
          <c:orientation val="minMax"/>
        </c:scaling>
        <c:delete val="1"/>
        <c:axPos val="l"/>
        <c:numFmt formatCode="0.00" sourceLinked="1"/>
        <c:majorTickMark val="out"/>
        <c:minorTickMark val="none"/>
        <c:tickLblPos val="nextTo"/>
        <c:crossAx val="646503224"/>
        <c:crosses val="autoZero"/>
        <c:crossBetween val="midCat"/>
      </c:valAx>
      <c:spPr>
        <a:noFill/>
        <a:ln>
          <a:noFill/>
        </a:ln>
        <a:effectLst/>
      </c:spPr>
    </c:plotArea>
    <c:plotVisOnly val="1"/>
    <c:dispBlanksAs val="zero"/>
    <c:showDLblsOverMax val="0"/>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hyperlink" Target="#'Average Waittime daily trend'!A1"/><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emf"/><Relationship Id="rId5" Type="http://schemas.openxmlformats.org/officeDocument/2006/relationships/hyperlink" Target="#' daily patients of eme room'!A1"/><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hyperlink" Target="#'Satisfaction score daily Trend'!A1"/><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board!A1"/><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board!A1"/><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board!A1"/><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6</xdr:col>
      <xdr:colOff>685800</xdr:colOff>
      <xdr:row>1</xdr:row>
      <xdr:rowOff>133350</xdr:rowOff>
    </xdr:from>
    <xdr:to>
      <xdr:col>9</xdr:col>
      <xdr:colOff>123825</xdr:colOff>
      <xdr:row>14</xdr:row>
      <xdr:rowOff>180975</xdr:rowOff>
    </xdr:to>
    <mc:AlternateContent xmlns:mc="http://schemas.openxmlformats.org/markup-compatibility/2006">
      <mc:Choice xmlns:a14="http://schemas.microsoft.com/office/drawing/2010/main" Requires="a14">
        <xdr:graphicFrame macro="">
          <xdr:nvGraphicFramePr>
            <xdr:cNvPr id="2" name="Date (Month)"/>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5686425" y="323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657225</xdr:colOff>
      <xdr:row>47</xdr:row>
      <xdr:rowOff>152400</xdr:rowOff>
    </xdr:from>
    <xdr:to>
      <xdr:col>5</xdr:col>
      <xdr:colOff>285750</xdr:colOff>
      <xdr:row>51</xdr:row>
      <xdr:rowOff>38101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47625</xdr:colOff>
      <xdr:row>0</xdr:row>
      <xdr:rowOff>104776</xdr:rowOff>
    </xdr:from>
    <xdr:to>
      <xdr:col>6</xdr:col>
      <xdr:colOff>1</xdr:colOff>
      <xdr:row>2</xdr:row>
      <xdr:rowOff>180976</xdr:rowOff>
    </xdr:to>
    <xdr:sp macro="" textlink="">
      <xdr:nvSpPr>
        <xdr:cNvPr id="2" name="Rounded Rectangle 1"/>
        <xdr:cNvSpPr/>
      </xdr:nvSpPr>
      <xdr:spPr>
        <a:xfrm>
          <a:off x="47625" y="104776"/>
          <a:ext cx="3609976" cy="457200"/>
        </a:xfrm>
        <a:prstGeom prst="round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2"/>
            </a:solidFill>
          </a:endParaRPr>
        </a:p>
      </xdr:txBody>
    </xdr:sp>
    <xdr:clientData/>
  </xdr:twoCellAnchor>
  <xdr:twoCellAnchor editAs="absolute">
    <xdr:from>
      <xdr:col>6</xdr:col>
      <xdr:colOff>76201</xdr:colOff>
      <xdr:row>0</xdr:row>
      <xdr:rowOff>95250</xdr:rowOff>
    </xdr:from>
    <xdr:to>
      <xdr:col>8</xdr:col>
      <xdr:colOff>104775</xdr:colOff>
      <xdr:row>2</xdr:row>
      <xdr:rowOff>171449</xdr:rowOff>
    </xdr:to>
    <xdr:sp macro="" textlink="">
      <xdr:nvSpPr>
        <xdr:cNvPr id="3" name="Rounded Rectangle 2"/>
        <xdr:cNvSpPr/>
      </xdr:nvSpPr>
      <xdr:spPr>
        <a:xfrm>
          <a:off x="3733801" y="95250"/>
          <a:ext cx="1247774" cy="457199"/>
        </a:xfrm>
        <a:prstGeom prst="round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2"/>
            </a:solidFill>
          </a:endParaRPr>
        </a:p>
      </xdr:txBody>
    </xdr:sp>
    <xdr:clientData/>
  </xdr:twoCellAnchor>
  <xdr:twoCellAnchor editAs="absolute">
    <xdr:from>
      <xdr:col>8</xdr:col>
      <xdr:colOff>200025</xdr:colOff>
      <xdr:row>0</xdr:row>
      <xdr:rowOff>114300</xdr:rowOff>
    </xdr:from>
    <xdr:to>
      <xdr:col>11</xdr:col>
      <xdr:colOff>342900</xdr:colOff>
      <xdr:row>9</xdr:row>
      <xdr:rowOff>76200</xdr:rowOff>
    </xdr:to>
    <xdr:sp macro="" textlink="">
      <xdr:nvSpPr>
        <xdr:cNvPr id="4" name="Rounded Rectangle 3"/>
        <xdr:cNvSpPr/>
      </xdr:nvSpPr>
      <xdr:spPr>
        <a:xfrm>
          <a:off x="5076825" y="114300"/>
          <a:ext cx="1971675" cy="1676400"/>
        </a:xfrm>
        <a:prstGeom prst="roundRect">
          <a:avLst>
            <a:gd name="adj" fmla="val 1493"/>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2"/>
            </a:solidFill>
          </a:endParaRPr>
        </a:p>
      </xdr:txBody>
    </xdr:sp>
    <xdr:clientData/>
  </xdr:twoCellAnchor>
  <xdr:twoCellAnchor editAs="absolute">
    <xdr:from>
      <xdr:col>11</xdr:col>
      <xdr:colOff>428625</xdr:colOff>
      <xdr:row>0</xdr:row>
      <xdr:rowOff>114300</xdr:rowOff>
    </xdr:from>
    <xdr:to>
      <xdr:col>14</xdr:col>
      <xdr:colOff>523874</xdr:colOff>
      <xdr:row>9</xdr:row>
      <xdr:rowOff>85725</xdr:rowOff>
    </xdr:to>
    <xdr:sp macro="" textlink="">
      <xdr:nvSpPr>
        <xdr:cNvPr id="8" name="Rounded Rectangle 7"/>
        <xdr:cNvSpPr/>
      </xdr:nvSpPr>
      <xdr:spPr>
        <a:xfrm>
          <a:off x="7134225" y="114300"/>
          <a:ext cx="1924049" cy="1685925"/>
        </a:xfrm>
        <a:prstGeom prst="roundRect">
          <a:avLst>
            <a:gd name="adj" fmla="val 2101"/>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2"/>
            </a:solidFill>
          </a:endParaRPr>
        </a:p>
      </xdr:txBody>
    </xdr:sp>
    <xdr:clientData/>
  </xdr:twoCellAnchor>
  <xdr:twoCellAnchor editAs="absolute">
    <xdr:from>
      <xdr:col>0</xdr:col>
      <xdr:colOff>47625</xdr:colOff>
      <xdr:row>3</xdr:row>
      <xdr:rowOff>57151</xdr:rowOff>
    </xdr:from>
    <xdr:to>
      <xdr:col>1</xdr:col>
      <xdr:colOff>342900</xdr:colOff>
      <xdr:row>21</xdr:row>
      <xdr:rowOff>19051</xdr:rowOff>
    </xdr:to>
    <xdr:sp macro="" textlink="">
      <xdr:nvSpPr>
        <xdr:cNvPr id="9" name="Rounded Rectangle 8"/>
        <xdr:cNvSpPr/>
      </xdr:nvSpPr>
      <xdr:spPr>
        <a:xfrm>
          <a:off x="47625" y="628651"/>
          <a:ext cx="904875" cy="3390900"/>
        </a:xfrm>
        <a:prstGeom prst="roundRect">
          <a:avLst>
            <a:gd name="adj" fmla="val 11579"/>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2"/>
            </a:solidFill>
          </a:endParaRPr>
        </a:p>
      </xdr:txBody>
    </xdr:sp>
    <xdr:clientData/>
  </xdr:twoCellAnchor>
  <xdr:twoCellAnchor editAs="absolute">
    <xdr:from>
      <xdr:col>1</xdr:col>
      <xdr:colOff>428625</xdr:colOff>
      <xdr:row>3</xdr:row>
      <xdr:rowOff>104775</xdr:rowOff>
    </xdr:from>
    <xdr:to>
      <xdr:col>8</xdr:col>
      <xdr:colOff>114300</xdr:colOff>
      <xdr:row>9</xdr:row>
      <xdr:rowOff>76200</xdr:rowOff>
    </xdr:to>
    <xdr:grpSp>
      <xdr:nvGrpSpPr>
        <xdr:cNvPr id="14" name="Group 13"/>
        <xdr:cNvGrpSpPr/>
      </xdr:nvGrpSpPr>
      <xdr:grpSpPr>
        <a:xfrm>
          <a:off x="1038225" y="676275"/>
          <a:ext cx="3952875" cy="1114425"/>
          <a:chOff x="1038225" y="628651"/>
          <a:chExt cx="3724275" cy="828674"/>
        </a:xfrm>
      </xdr:grpSpPr>
      <xdr:sp macro="" textlink="">
        <xdr:nvSpPr>
          <xdr:cNvPr id="11" name="Rounded Rectangle 10"/>
          <xdr:cNvSpPr/>
        </xdr:nvSpPr>
        <xdr:spPr>
          <a:xfrm>
            <a:off x="1038225" y="628651"/>
            <a:ext cx="1190625" cy="828674"/>
          </a:xfrm>
          <a:prstGeom prst="roundRect">
            <a:avLst>
              <a:gd name="adj" fmla="val 3032"/>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2"/>
              </a:solidFill>
            </a:endParaRPr>
          </a:p>
        </xdr:txBody>
      </xdr:sp>
      <xdr:sp macro="" textlink="">
        <xdr:nvSpPr>
          <xdr:cNvPr id="12" name="Rounded Rectangle 11"/>
          <xdr:cNvSpPr/>
        </xdr:nvSpPr>
        <xdr:spPr>
          <a:xfrm>
            <a:off x="2305050" y="628651"/>
            <a:ext cx="1190625" cy="828674"/>
          </a:xfrm>
          <a:prstGeom prst="roundRect">
            <a:avLst>
              <a:gd name="adj" fmla="val 3032"/>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2"/>
              </a:solidFill>
            </a:endParaRPr>
          </a:p>
        </xdr:txBody>
      </xdr:sp>
      <xdr:sp macro="" textlink="">
        <xdr:nvSpPr>
          <xdr:cNvPr id="13" name="Rounded Rectangle 12"/>
          <xdr:cNvSpPr/>
        </xdr:nvSpPr>
        <xdr:spPr>
          <a:xfrm>
            <a:off x="3571875" y="628651"/>
            <a:ext cx="1190625" cy="828674"/>
          </a:xfrm>
          <a:prstGeom prst="roundRect">
            <a:avLst>
              <a:gd name="adj" fmla="val 2177"/>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2"/>
              </a:solidFill>
            </a:endParaRPr>
          </a:p>
        </xdr:txBody>
      </xdr:sp>
    </xdr:grpSp>
    <xdr:clientData/>
  </xdr:twoCellAnchor>
  <xdr:twoCellAnchor editAs="absolute">
    <xdr:from>
      <xdr:col>1</xdr:col>
      <xdr:colOff>419100</xdr:colOff>
      <xdr:row>13</xdr:row>
      <xdr:rowOff>123825</xdr:rowOff>
    </xdr:from>
    <xdr:to>
      <xdr:col>8</xdr:col>
      <xdr:colOff>133349</xdr:colOff>
      <xdr:row>21</xdr:row>
      <xdr:rowOff>28574</xdr:rowOff>
    </xdr:to>
    <xdr:sp macro="" textlink="">
      <xdr:nvSpPr>
        <xdr:cNvPr id="15" name="Rounded Rectangle 14"/>
        <xdr:cNvSpPr/>
      </xdr:nvSpPr>
      <xdr:spPr>
        <a:xfrm>
          <a:off x="1028700" y="2600325"/>
          <a:ext cx="3981449" cy="1428749"/>
        </a:xfrm>
        <a:prstGeom prst="roundRect">
          <a:avLst>
            <a:gd name="adj" fmla="val 2365"/>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2"/>
            </a:solidFill>
          </a:endParaRPr>
        </a:p>
      </xdr:txBody>
    </xdr:sp>
    <xdr:clientData/>
  </xdr:twoCellAnchor>
  <xdr:twoCellAnchor editAs="absolute">
    <xdr:from>
      <xdr:col>1</xdr:col>
      <xdr:colOff>428625</xdr:colOff>
      <xdr:row>9</xdr:row>
      <xdr:rowOff>161926</xdr:rowOff>
    </xdr:from>
    <xdr:to>
      <xdr:col>8</xdr:col>
      <xdr:colOff>123825</xdr:colOff>
      <xdr:row>13</xdr:row>
      <xdr:rowOff>47626</xdr:rowOff>
    </xdr:to>
    <xdr:sp macro="" textlink="">
      <xdr:nvSpPr>
        <xdr:cNvPr id="16" name="Rounded Rectangle 15"/>
        <xdr:cNvSpPr/>
      </xdr:nvSpPr>
      <xdr:spPr>
        <a:xfrm>
          <a:off x="1038225" y="1876426"/>
          <a:ext cx="3962400" cy="647700"/>
        </a:xfrm>
        <a:prstGeom prst="roundRect">
          <a:avLst>
            <a:gd name="adj" fmla="val 3648"/>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2"/>
            </a:solidFill>
          </a:endParaRPr>
        </a:p>
      </xdr:txBody>
    </xdr:sp>
    <xdr:clientData/>
  </xdr:twoCellAnchor>
  <xdr:twoCellAnchor editAs="absolute">
    <xdr:from>
      <xdr:col>8</xdr:col>
      <xdr:colOff>209550</xdr:colOff>
      <xdr:row>9</xdr:row>
      <xdr:rowOff>171450</xdr:rowOff>
    </xdr:from>
    <xdr:to>
      <xdr:col>14</xdr:col>
      <xdr:colOff>533400</xdr:colOff>
      <xdr:row>21</xdr:row>
      <xdr:rowOff>19050</xdr:rowOff>
    </xdr:to>
    <xdr:sp macro="" textlink="">
      <xdr:nvSpPr>
        <xdr:cNvPr id="17" name="Rounded Rectangle 16"/>
        <xdr:cNvSpPr/>
      </xdr:nvSpPr>
      <xdr:spPr>
        <a:xfrm>
          <a:off x="5086350" y="1885950"/>
          <a:ext cx="3981450" cy="2133600"/>
        </a:xfrm>
        <a:prstGeom prst="roundRect">
          <a:avLst>
            <a:gd name="adj" fmla="val 0"/>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2"/>
            </a:solidFill>
          </a:endParaRPr>
        </a:p>
      </xdr:txBody>
    </xdr:sp>
    <xdr:clientData/>
  </xdr:twoCellAnchor>
  <xdr:twoCellAnchor>
    <xdr:from>
      <xdr:col>1</xdr:col>
      <xdr:colOff>104776</xdr:colOff>
      <xdr:row>0</xdr:row>
      <xdr:rowOff>142875</xdr:rowOff>
    </xdr:from>
    <xdr:to>
      <xdr:col>5</xdr:col>
      <xdr:colOff>561976</xdr:colOff>
      <xdr:row>1</xdr:row>
      <xdr:rowOff>171450</xdr:rowOff>
    </xdr:to>
    <xdr:sp macro="" textlink="">
      <xdr:nvSpPr>
        <xdr:cNvPr id="19" name="TextBox 18"/>
        <xdr:cNvSpPr txBox="1"/>
      </xdr:nvSpPr>
      <xdr:spPr>
        <a:xfrm>
          <a:off x="714376" y="142875"/>
          <a:ext cx="28956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Hospital Emergency Room Dasboard</a:t>
          </a:r>
        </a:p>
      </xdr:txBody>
    </xdr:sp>
    <xdr:clientData/>
  </xdr:twoCellAnchor>
  <xdr:twoCellAnchor editAs="oneCell">
    <xdr:from>
      <xdr:col>0</xdr:col>
      <xdr:colOff>0</xdr:colOff>
      <xdr:row>0</xdr:row>
      <xdr:rowOff>66675</xdr:rowOff>
    </xdr:from>
    <xdr:to>
      <xdr:col>1</xdr:col>
      <xdr:colOff>323850</xdr:colOff>
      <xdr:row>3</xdr:row>
      <xdr:rowOff>13449</xdr:rowOff>
    </xdr:to>
    <xdr:pic>
      <xdr:nvPicPr>
        <xdr:cNvPr id="20"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6675"/>
          <a:ext cx="933450" cy="518274"/>
        </a:xfrm>
        <a:prstGeom prst="rect">
          <a:avLst/>
        </a:prstGeom>
      </xdr:spPr>
    </xdr:pic>
    <xdr:clientData/>
  </xdr:twoCellAnchor>
  <xdr:twoCellAnchor>
    <xdr:from>
      <xdr:col>1</xdr:col>
      <xdr:colOff>76201</xdr:colOff>
      <xdr:row>1</xdr:row>
      <xdr:rowOff>161925</xdr:rowOff>
    </xdr:from>
    <xdr:to>
      <xdr:col>5</xdr:col>
      <xdr:colOff>533401</xdr:colOff>
      <xdr:row>3</xdr:row>
      <xdr:rowOff>0</xdr:rowOff>
    </xdr:to>
    <xdr:sp macro="" textlink="">
      <xdr:nvSpPr>
        <xdr:cNvPr id="21" name="TextBox 20"/>
        <xdr:cNvSpPr txBox="1"/>
      </xdr:nvSpPr>
      <xdr:spPr>
        <a:xfrm>
          <a:off x="685801" y="352425"/>
          <a:ext cx="28956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Monthly Report</a:t>
          </a:r>
        </a:p>
      </xdr:txBody>
    </xdr:sp>
    <xdr:clientData/>
  </xdr:twoCellAnchor>
  <xdr:twoCellAnchor>
    <xdr:from>
      <xdr:col>1</xdr:col>
      <xdr:colOff>428624</xdr:colOff>
      <xdr:row>4</xdr:row>
      <xdr:rowOff>161925</xdr:rowOff>
    </xdr:from>
    <xdr:to>
      <xdr:col>3</xdr:col>
      <xdr:colOff>457199</xdr:colOff>
      <xdr:row>6</xdr:row>
      <xdr:rowOff>76200</xdr:rowOff>
    </xdr:to>
    <xdr:sp macro="" textlink="'pivot report'!A3">
      <xdr:nvSpPr>
        <xdr:cNvPr id="22" name="TextBox 21"/>
        <xdr:cNvSpPr txBox="1"/>
      </xdr:nvSpPr>
      <xdr:spPr>
        <a:xfrm>
          <a:off x="1038224" y="923925"/>
          <a:ext cx="12477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3B4C9D8-0C1C-4FEC-BB62-CC2757926FA6}" type="TxLink">
            <a:rPr lang="en-US" sz="1400" b="0" i="0" u="none" strike="noStrike">
              <a:solidFill>
                <a:srgbClr val="000000"/>
              </a:solidFill>
              <a:latin typeface="Calibri"/>
              <a:cs typeface="Calibri"/>
            </a:rPr>
            <a:pPr algn="ctr"/>
            <a:t>479</a:t>
          </a:fld>
          <a:endParaRPr lang="en-IN" sz="1400"/>
        </a:p>
      </xdr:txBody>
    </xdr:sp>
    <xdr:clientData/>
  </xdr:twoCellAnchor>
  <xdr:twoCellAnchor>
    <xdr:from>
      <xdr:col>1</xdr:col>
      <xdr:colOff>438147</xdr:colOff>
      <xdr:row>6</xdr:row>
      <xdr:rowOff>38100</xdr:rowOff>
    </xdr:from>
    <xdr:to>
      <xdr:col>3</xdr:col>
      <xdr:colOff>466722</xdr:colOff>
      <xdr:row>7</xdr:row>
      <xdr:rowOff>142875</xdr:rowOff>
    </xdr:to>
    <xdr:sp macro="" textlink="">
      <xdr:nvSpPr>
        <xdr:cNvPr id="23" name="TextBox 22"/>
        <xdr:cNvSpPr txBox="1"/>
      </xdr:nvSpPr>
      <xdr:spPr>
        <a:xfrm>
          <a:off x="1047747" y="1181100"/>
          <a:ext cx="12477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a:t>No.</a:t>
          </a:r>
          <a:r>
            <a:rPr lang="en-IN" sz="1050" baseline="0"/>
            <a:t> of Patients</a:t>
          </a:r>
          <a:endParaRPr lang="en-IN" sz="1050"/>
        </a:p>
      </xdr:txBody>
    </xdr:sp>
    <xdr:clientData/>
  </xdr:twoCellAnchor>
  <xdr:twoCellAnchor>
    <xdr:from>
      <xdr:col>3</xdr:col>
      <xdr:colOff>552450</xdr:colOff>
      <xdr:row>4</xdr:row>
      <xdr:rowOff>180976</xdr:rowOff>
    </xdr:from>
    <xdr:to>
      <xdr:col>5</xdr:col>
      <xdr:colOff>571500</xdr:colOff>
      <xdr:row>6</xdr:row>
      <xdr:rowOff>57150</xdr:rowOff>
    </xdr:to>
    <xdr:sp macro="" textlink="'pivot report'!A9">
      <xdr:nvSpPr>
        <xdr:cNvPr id="25" name="TextBox 24"/>
        <xdr:cNvSpPr txBox="1"/>
      </xdr:nvSpPr>
      <xdr:spPr>
        <a:xfrm>
          <a:off x="2381250" y="942976"/>
          <a:ext cx="1238250"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C46EFF2-8FCB-44AD-808B-50BFB3EAD363}" type="TxLink">
            <a:rPr lang="en-US" sz="1400" b="0" i="0" u="none" strike="noStrike">
              <a:solidFill>
                <a:srgbClr val="000000"/>
              </a:solidFill>
              <a:latin typeface="Calibri"/>
              <a:cs typeface="Calibri"/>
            </a:rPr>
            <a:pPr algn="ctr"/>
            <a:t>34.90</a:t>
          </a:fld>
          <a:endParaRPr lang="en-IN" sz="1400"/>
        </a:p>
      </xdr:txBody>
    </xdr:sp>
    <xdr:clientData/>
  </xdr:twoCellAnchor>
  <xdr:twoCellAnchor>
    <xdr:from>
      <xdr:col>3</xdr:col>
      <xdr:colOff>552447</xdr:colOff>
      <xdr:row>5</xdr:row>
      <xdr:rowOff>180975</xdr:rowOff>
    </xdr:from>
    <xdr:to>
      <xdr:col>5</xdr:col>
      <xdr:colOff>581022</xdr:colOff>
      <xdr:row>7</xdr:row>
      <xdr:rowOff>95250</xdr:rowOff>
    </xdr:to>
    <xdr:sp macro="" textlink="">
      <xdr:nvSpPr>
        <xdr:cNvPr id="26" name="TextBox 25"/>
        <xdr:cNvSpPr txBox="1"/>
      </xdr:nvSpPr>
      <xdr:spPr>
        <a:xfrm>
          <a:off x="2381247" y="1133475"/>
          <a:ext cx="12477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solidFill>
                <a:schemeClr val="dk1"/>
              </a:solidFill>
              <a:effectLst/>
              <a:latin typeface="+mn-lt"/>
              <a:ea typeface="+mn-ea"/>
              <a:cs typeface="+mn-cs"/>
            </a:rPr>
            <a:t>Average Waittime</a:t>
          </a:r>
          <a:endParaRPr lang="en-IN" sz="1050">
            <a:effectLst/>
          </a:endParaRPr>
        </a:p>
      </xdr:txBody>
    </xdr:sp>
    <xdr:clientData/>
  </xdr:twoCellAnchor>
  <xdr:twoCellAnchor>
    <xdr:from>
      <xdr:col>6</xdr:col>
      <xdr:colOff>76200</xdr:colOff>
      <xdr:row>4</xdr:row>
      <xdr:rowOff>142876</xdr:rowOff>
    </xdr:from>
    <xdr:to>
      <xdr:col>8</xdr:col>
      <xdr:colOff>95250</xdr:colOff>
      <xdr:row>6</xdr:row>
      <xdr:rowOff>19050</xdr:rowOff>
    </xdr:to>
    <xdr:sp macro="" textlink="'pivot report'!A14">
      <xdr:nvSpPr>
        <xdr:cNvPr id="27" name="TextBox 26"/>
        <xdr:cNvSpPr txBox="1"/>
      </xdr:nvSpPr>
      <xdr:spPr>
        <a:xfrm>
          <a:off x="3733800" y="904876"/>
          <a:ext cx="1238250"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81E84E2-805F-4450-9C3A-5B2AA5DDA10F}" type="TxLink">
            <a:rPr lang="en-US" sz="1400" b="0" i="0" u="none" strike="noStrike">
              <a:solidFill>
                <a:srgbClr val="000000"/>
              </a:solidFill>
              <a:latin typeface="Calibri"/>
              <a:cs typeface="Calibri"/>
            </a:rPr>
            <a:pPr algn="ctr"/>
            <a:t>5.30</a:t>
          </a:fld>
          <a:endParaRPr lang="en-IN" sz="1400"/>
        </a:p>
      </xdr:txBody>
    </xdr:sp>
    <xdr:clientData/>
  </xdr:twoCellAnchor>
  <xdr:twoCellAnchor>
    <xdr:from>
      <xdr:col>6</xdr:col>
      <xdr:colOff>66677</xdr:colOff>
      <xdr:row>5</xdr:row>
      <xdr:rowOff>133349</xdr:rowOff>
    </xdr:from>
    <xdr:to>
      <xdr:col>8</xdr:col>
      <xdr:colOff>114301</xdr:colOff>
      <xdr:row>8</xdr:row>
      <xdr:rowOff>28575</xdr:rowOff>
    </xdr:to>
    <xdr:sp macro="" textlink="">
      <xdr:nvSpPr>
        <xdr:cNvPr id="30" name="TextBox 29"/>
        <xdr:cNvSpPr txBox="1"/>
      </xdr:nvSpPr>
      <xdr:spPr>
        <a:xfrm>
          <a:off x="3724277" y="1085849"/>
          <a:ext cx="1266824"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t>Patient Satisfaction Score</a:t>
          </a:r>
        </a:p>
      </xdr:txBody>
    </xdr:sp>
    <xdr:clientData/>
  </xdr:twoCellAnchor>
  <xdr:twoCellAnchor editAs="oneCell">
    <xdr:from>
      <xdr:col>5</xdr:col>
      <xdr:colOff>295276</xdr:colOff>
      <xdr:row>3</xdr:row>
      <xdr:rowOff>190496</xdr:rowOff>
    </xdr:from>
    <xdr:to>
      <xdr:col>5</xdr:col>
      <xdr:colOff>504826</xdr:colOff>
      <xdr:row>5</xdr:row>
      <xdr:rowOff>40001</xdr:rowOff>
    </xdr:to>
    <xdr:pic>
      <xdr:nvPicPr>
        <xdr:cNvPr id="35" name="Picture 3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V="1">
          <a:off x="3343276" y="761996"/>
          <a:ext cx="209550" cy="230505"/>
        </a:xfrm>
        <a:prstGeom prst="rect">
          <a:avLst/>
        </a:prstGeom>
      </xdr:spPr>
    </xdr:pic>
    <xdr:clientData/>
  </xdr:twoCellAnchor>
  <xdr:twoCellAnchor editAs="oneCell">
    <xdr:from>
      <xdr:col>3</xdr:col>
      <xdr:colOff>28575</xdr:colOff>
      <xdr:row>3</xdr:row>
      <xdr:rowOff>142876</xdr:rowOff>
    </xdr:from>
    <xdr:to>
      <xdr:col>3</xdr:col>
      <xdr:colOff>485775</xdr:colOff>
      <xdr:row>5</xdr:row>
      <xdr:rowOff>95250</xdr:rowOff>
    </xdr:to>
    <xdr:pic>
      <xdr:nvPicPr>
        <xdr:cNvPr id="37" name="Picture 3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57375" y="714376"/>
          <a:ext cx="457200" cy="333374"/>
        </a:xfrm>
        <a:prstGeom prst="rect">
          <a:avLst/>
        </a:prstGeom>
      </xdr:spPr>
    </xdr:pic>
    <xdr:clientData/>
  </xdr:twoCellAnchor>
  <xdr:twoCellAnchor editAs="oneCell">
    <xdr:from>
      <xdr:col>7</xdr:col>
      <xdr:colOff>400051</xdr:colOff>
      <xdr:row>3</xdr:row>
      <xdr:rowOff>152401</xdr:rowOff>
    </xdr:from>
    <xdr:to>
      <xdr:col>8</xdr:col>
      <xdr:colOff>57150</xdr:colOff>
      <xdr:row>5</xdr:row>
      <xdr:rowOff>38100</xdr:rowOff>
    </xdr:to>
    <xdr:pic>
      <xdr:nvPicPr>
        <xdr:cNvPr id="39" name="Picture 3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667251" y="723901"/>
          <a:ext cx="266699" cy="266699"/>
        </a:xfrm>
        <a:prstGeom prst="rect">
          <a:avLst/>
        </a:prstGeom>
      </xdr:spPr>
    </xdr:pic>
    <xdr:clientData/>
  </xdr:twoCellAnchor>
  <xdr:twoCellAnchor editAs="oneCell">
    <xdr:from>
      <xdr:col>0</xdr:col>
      <xdr:colOff>85725</xdr:colOff>
      <xdr:row>3</xdr:row>
      <xdr:rowOff>161925</xdr:rowOff>
    </xdr:from>
    <xdr:to>
      <xdr:col>1</xdr:col>
      <xdr:colOff>289125</xdr:colOff>
      <xdr:row>20</xdr:row>
      <xdr:rowOff>55425</xdr:rowOff>
    </xdr:to>
    <mc:AlternateContent xmlns:mc="http://schemas.openxmlformats.org/markup-compatibility/2006" xmlns:a14="http://schemas.microsoft.com/office/drawing/2010/main">
      <mc:Choice Requires="a14">
        <xdr:graphicFrame macro="">
          <xdr:nvGraphicFramePr>
            <xdr:cNvPr id="28" name="Date (Month) 1"/>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85725" y="733425"/>
              <a:ext cx="813000" cy="31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352426</xdr:colOff>
      <xdr:row>6</xdr:row>
      <xdr:rowOff>114300</xdr:rowOff>
    </xdr:from>
    <xdr:to>
      <xdr:col>3</xdr:col>
      <xdr:colOff>504825</xdr:colOff>
      <xdr:row>10</xdr:row>
      <xdr:rowOff>38100</xdr:rowOff>
    </xdr:to>
    <xdr:graphicFrame macro="">
      <xdr:nvGraphicFramePr>
        <xdr:cNvPr id="29" name="Chart 28">
          <a:hlinkClick xmlns:r="http://schemas.openxmlformats.org/officeDocument/2006/relationships" r:id="rId5"/>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447674</xdr:colOff>
      <xdr:row>7</xdr:row>
      <xdr:rowOff>19049</xdr:rowOff>
    </xdr:from>
    <xdr:to>
      <xdr:col>6</xdr:col>
      <xdr:colOff>114299</xdr:colOff>
      <xdr:row>10</xdr:row>
      <xdr:rowOff>9524</xdr:rowOff>
    </xdr:to>
    <xdr:graphicFrame macro="">
      <xdr:nvGraphicFramePr>
        <xdr:cNvPr id="33" name="Chart 32">
          <a:hlinkClick xmlns:r="http://schemas.openxmlformats.org/officeDocument/2006/relationships" r:id="rId7"/>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542925</xdr:colOff>
      <xdr:row>6</xdr:row>
      <xdr:rowOff>180975</xdr:rowOff>
    </xdr:from>
    <xdr:to>
      <xdr:col>8</xdr:col>
      <xdr:colOff>257175</xdr:colOff>
      <xdr:row>9</xdr:row>
      <xdr:rowOff>161925</xdr:rowOff>
    </xdr:to>
    <xdr:graphicFrame macro="">
      <xdr:nvGraphicFramePr>
        <xdr:cNvPr id="34" name="Chart 33">
          <a:hlinkClick xmlns:r="http://schemas.openxmlformats.org/officeDocument/2006/relationships" r:id="rId9"/>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419100</xdr:colOff>
          <xdr:row>9</xdr:row>
          <xdr:rowOff>152400</xdr:rowOff>
        </xdr:from>
        <xdr:to>
          <xdr:col>8</xdr:col>
          <xdr:colOff>114300</xdr:colOff>
          <xdr:row>13</xdr:row>
          <xdr:rowOff>28576</xdr:rowOff>
        </xdr:to>
        <xdr:pic>
          <xdr:nvPicPr>
            <xdr:cNvPr id="45" name="Picture 44"/>
            <xdr:cNvPicPr>
              <a:picLocks noChangeAspect="1" noChangeArrowheads="1"/>
              <a:extLst>
                <a:ext uri="{84589F7E-364E-4C9E-8A38-B11213B215E9}">
                  <a14:cameraTool cellRange="'pivot report'!$A$48:$E$50" spid="_x0000_s2064"/>
                </a:ext>
              </a:extLst>
            </xdr:cNvPicPr>
          </xdr:nvPicPr>
          <xdr:blipFill>
            <a:blip xmlns:r="http://schemas.openxmlformats.org/officeDocument/2006/relationships" r:embed="rId11"/>
            <a:srcRect/>
            <a:stretch>
              <a:fillRect/>
            </a:stretch>
          </xdr:blipFill>
          <xdr:spPr bwMode="auto">
            <a:xfrm>
              <a:off x="1028700" y="1866900"/>
              <a:ext cx="3962400" cy="63817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438150</xdr:colOff>
      <xdr:row>13</xdr:row>
      <xdr:rowOff>152400</xdr:rowOff>
    </xdr:from>
    <xdr:to>
      <xdr:col>8</xdr:col>
      <xdr:colOff>114300</xdr:colOff>
      <xdr:row>21</xdr:row>
      <xdr:rowOff>28575</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247651</xdr:colOff>
      <xdr:row>20</xdr:row>
      <xdr:rowOff>28575</xdr:rowOff>
    </xdr:from>
    <xdr:to>
      <xdr:col>5</xdr:col>
      <xdr:colOff>552451</xdr:colOff>
      <xdr:row>21</xdr:row>
      <xdr:rowOff>66675</xdr:rowOff>
    </xdr:to>
    <xdr:sp macro="" textlink="">
      <xdr:nvSpPr>
        <xdr:cNvPr id="5" name="TextBox 4"/>
        <xdr:cNvSpPr txBox="1"/>
      </xdr:nvSpPr>
      <xdr:spPr>
        <a:xfrm>
          <a:off x="2076451" y="3838575"/>
          <a:ext cx="1524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No. of Patients by Age group</a:t>
          </a:r>
        </a:p>
      </xdr:txBody>
    </xdr:sp>
    <xdr:clientData/>
  </xdr:twoCellAnchor>
  <xdr:twoCellAnchor>
    <xdr:from>
      <xdr:col>8</xdr:col>
      <xdr:colOff>209551</xdr:colOff>
      <xdr:row>0</xdr:row>
      <xdr:rowOff>114299</xdr:rowOff>
    </xdr:from>
    <xdr:to>
      <xdr:col>11</xdr:col>
      <xdr:colOff>285751</xdr:colOff>
      <xdr:row>9</xdr:row>
      <xdr:rowOff>85724</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447675</xdr:colOff>
      <xdr:row>7</xdr:row>
      <xdr:rowOff>161925</xdr:rowOff>
    </xdr:from>
    <xdr:to>
      <xdr:col>11</xdr:col>
      <xdr:colOff>238125</xdr:colOff>
      <xdr:row>9</xdr:row>
      <xdr:rowOff>19050</xdr:rowOff>
    </xdr:to>
    <xdr:sp macro="" textlink="">
      <xdr:nvSpPr>
        <xdr:cNvPr id="6" name="TextBox 5"/>
        <xdr:cNvSpPr txBox="1"/>
      </xdr:nvSpPr>
      <xdr:spPr>
        <a:xfrm>
          <a:off x="5324475" y="1495425"/>
          <a:ext cx="16192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Patient Attended status</a:t>
          </a:r>
        </a:p>
        <a:p>
          <a:endParaRPr lang="en-IN" sz="1100"/>
        </a:p>
      </xdr:txBody>
    </xdr:sp>
    <xdr:clientData/>
  </xdr:twoCellAnchor>
  <xdr:twoCellAnchor>
    <xdr:from>
      <xdr:col>11</xdr:col>
      <xdr:colOff>409576</xdr:colOff>
      <xdr:row>0</xdr:row>
      <xdr:rowOff>152400</xdr:rowOff>
    </xdr:from>
    <xdr:to>
      <xdr:col>14</xdr:col>
      <xdr:colOff>504826</xdr:colOff>
      <xdr:row>9</xdr:row>
      <xdr:rowOff>95250</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114300</xdr:colOff>
      <xdr:row>7</xdr:row>
      <xdr:rowOff>180976</xdr:rowOff>
    </xdr:from>
    <xdr:to>
      <xdr:col>14</xdr:col>
      <xdr:colOff>257175</xdr:colOff>
      <xdr:row>9</xdr:row>
      <xdr:rowOff>66676</xdr:rowOff>
    </xdr:to>
    <xdr:sp macro="" textlink="">
      <xdr:nvSpPr>
        <xdr:cNvPr id="7" name="TextBox 6"/>
        <xdr:cNvSpPr txBox="1"/>
      </xdr:nvSpPr>
      <xdr:spPr>
        <a:xfrm>
          <a:off x="7429500" y="1514476"/>
          <a:ext cx="13620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gender wise</a:t>
          </a:r>
          <a:r>
            <a:rPr lang="en-IN" sz="1100" baseline="0"/>
            <a:t> analysis</a:t>
          </a:r>
          <a:endParaRPr lang="en-IN" sz="1100"/>
        </a:p>
      </xdr:txBody>
    </xdr:sp>
    <xdr:clientData/>
  </xdr:twoCellAnchor>
  <xdr:twoCellAnchor>
    <xdr:from>
      <xdr:col>8</xdr:col>
      <xdr:colOff>161925</xdr:colOff>
      <xdr:row>10</xdr:row>
      <xdr:rowOff>9525</xdr:rowOff>
    </xdr:from>
    <xdr:to>
      <xdr:col>14</xdr:col>
      <xdr:colOff>523875</xdr:colOff>
      <xdr:row>19</xdr:row>
      <xdr:rowOff>142875</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57150</xdr:colOff>
      <xdr:row>18</xdr:row>
      <xdr:rowOff>161926</xdr:rowOff>
    </xdr:from>
    <xdr:to>
      <xdr:col>12</xdr:col>
      <xdr:colOff>352425</xdr:colOff>
      <xdr:row>21</xdr:row>
      <xdr:rowOff>9526</xdr:rowOff>
    </xdr:to>
    <xdr:sp macro="" textlink="">
      <xdr:nvSpPr>
        <xdr:cNvPr id="10" name="TextBox 9"/>
        <xdr:cNvSpPr txBox="1"/>
      </xdr:nvSpPr>
      <xdr:spPr>
        <a:xfrm>
          <a:off x="6153150" y="3590926"/>
          <a:ext cx="15144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No. Of Patients</a:t>
          </a:r>
          <a:r>
            <a:rPr lang="en-IN" sz="1000" baseline="0"/>
            <a:t> by Departmental Referal</a:t>
          </a:r>
          <a:endParaRPr lang="en-IN" sz="1000"/>
        </a:p>
      </xdr:txBody>
    </xdr:sp>
    <xdr:clientData/>
  </xdr:twoCellAnchor>
  <xdr:twoCellAnchor editAs="oneCell">
    <xdr:from>
      <xdr:col>6</xdr:col>
      <xdr:colOff>114300</xdr:colOff>
      <xdr:row>0</xdr:row>
      <xdr:rowOff>142875</xdr:rowOff>
    </xdr:from>
    <xdr:to>
      <xdr:col>8</xdr:col>
      <xdr:colOff>83100</xdr:colOff>
      <xdr:row>2</xdr:row>
      <xdr:rowOff>121875</xdr:rowOff>
    </xdr:to>
    <mc:AlternateContent xmlns:mc="http://schemas.openxmlformats.org/markup-compatibility/2006" xmlns:a14="http://schemas.microsoft.com/office/drawing/2010/main">
      <mc:Choice Requires="a14">
        <xdr:graphicFrame macro="">
          <xdr:nvGraphicFramePr>
            <xdr:cNvPr id="52" name="Date (Yea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771900" y="142875"/>
              <a:ext cx="1188000" cy="3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47625</xdr:rowOff>
    </xdr:from>
    <xdr:to>
      <xdr:col>12</xdr:col>
      <xdr:colOff>495300</xdr:colOff>
      <xdr:row>19</xdr:row>
      <xdr:rowOff>114300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76200</xdr:colOff>
      <xdr:row>2</xdr:row>
      <xdr:rowOff>114300</xdr:rowOff>
    </xdr:from>
    <xdr:to>
      <xdr:col>1</xdr:col>
      <xdr:colOff>409575</xdr:colOff>
      <xdr:row>4</xdr:row>
      <xdr:rowOff>85725</xdr:rowOff>
    </xdr:to>
    <xdr:pic>
      <xdr:nvPicPr>
        <xdr:cNvPr id="5" name="Picture 4">
          <a:hlinkClick xmlns:r="http://schemas.openxmlformats.org/officeDocument/2006/relationships" r:id="rId2"/>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4242" t="24242" r="22727" b="19697"/>
        <a:stretch/>
      </xdr:blipFill>
      <xdr:spPr>
        <a:xfrm>
          <a:off x="685800" y="495300"/>
          <a:ext cx="333375" cy="352425"/>
        </a:xfrm>
        <a:prstGeom prst="rect">
          <a:avLst/>
        </a:prstGeom>
        <a:solidFill>
          <a:schemeClr val="tx2">
            <a:lumMod val="75000"/>
            <a:alpha val="52000"/>
          </a:schemeClr>
        </a:solid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xdr:colOff>
      <xdr:row>1</xdr:row>
      <xdr:rowOff>85724</xdr:rowOff>
    </xdr:from>
    <xdr:to>
      <xdr:col>13</xdr:col>
      <xdr:colOff>190500</xdr:colOff>
      <xdr:row>20</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66675</xdr:colOff>
      <xdr:row>1</xdr:row>
      <xdr:rowOff>142876</xdr:rowOff>
    </xdr:from>
    <xdr:to>
      <xdr:col>1</xdr:col>
      <xdr:colOff>434658</xdr:colOff>
      <xdr:row>3</xdr:row>
      <xdr:rowOff>123826</xdr:rowOff>
    </xdr:to>
    <xdr:pic>
      <xdr:nvPicPr>
        <xdr:cNvPr id="3" name="Picture 2">
          <a:hlinkClick xmlns:r="http://schemas.openxmlformats.org/officeDocument/2006/relationships" r:id="rId2"/>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2936" t="22936" r="21100" b="22019"/>
        <a:stretch/>
      </xdr:blipFill>
      <xdr:spPr>
        <a:xfrm>
          <a:off x="676275" y="333376"/>
          <a:ext cx="367983" cy="361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600075</xdr:colOff>
      <xdr:row>1</xdr:row>
      <xdr:rowOff>19049</xdr:rowOff>
    </xdr:from>
    <xdr:to>
      <xdr:col>14</xdr:col>
      <xdr:colOff>9525</xdr:colOff>
      <xdr:row>20</xdr:row>
      <xdr:rowOff>38100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85725</xdr:rowOff>
    </xdr:from>
    <xdr:to>
      <xdr:col>1</xdr:col>
      <xdr:colOff>381000</xdr:colOff>
      <xdr:row>3</xdr:row>
      <xdr:rowOff>47538</xdr:rowOff>
    </xdr:to>
    <xdr:pic>
      <xdr:nvPicPr>
        <xdr:cNvPr id="5" name="Picture 4">
          <a:hlinkClick xmlns:r="http://schemas.openxmlformats.org/officeDocument/2006/relationships" r:id="rId2"/>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3501" t="24000" r="21500" b="22500"/>
        <a:stretch/>
      </xdr:blipFill>
      <xdr:spPr>
        <a:xfrm>
          <a:off x="638175" y="276225"/>
          <a:ext cx="352425" cy="34281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DELL" refreshedDate="46069.017137152776" createdVersion="5" refreshedVersion="6" minRefreshableVersion="3" recordCount="0" supportSubquery="1" supportAdvancedDrill="1">
  <cacheSource type="external" connectionId="3"/>
  <cacheFields count="4">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Calendar_table].[Date].[Date]" caption="Date" numFmtId="0" level="1">
      <sharedItems containsSemiMixedTypes="0" containsNonDate="0" containsDate="1" containsString="0" minDate="2023-04-01T00:00:00" maxDate="2023-05-01T00:00:00" count="3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3"/>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DELL" refreshedDate="46069.017137499999" createdVersion="5" refreshedVersion="6" minRefreshableVersion="3" recordCount="0" supportSubquery="1" supportAdvancedDrill="1">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ELL" refreshedDate="46069.017137962961" createdVersion="5" refreshedVersion="6" minRefreshableVersion="3" recordCount="0" supportSubquery="1" supportAdvancedDrill="1">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ELL" refreshedDate="46069.017138425923" createdVersion="5" refreshedVersion="6" minRefreshableVersion="3" recordCount="0" supportSubquery="1" supportAdvancedDrill="1">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ELL" refreshedDate="46069.017139236108" createdVersion="5" refreshedVersion="6" minRefreshableVersion="3" recordCount="0" supportSubquery="1" supportAdvancedDrill="1">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ELL" refreshedDate="46069.017140046293" createdVersion="5" refreshedVersion="6" minRefreshableVersion="3" recordCount="0" supportSubquery="1" supportAdvancedDrill="1">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ELL" refreshedDate="46069.017140856478" createdVersion="5" refreshedVersion="6" minRefreshableVersion="3" recordCount="0" supportSubquery="1" supportAdvancedDrill="1">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DELL" refreshedDate="46069.017141435186" createdVersion="5" refreshedVersion="6" minRefreshableVersion="3" recordCount="0" supportSubquery="1" supportAdvancedDrill="1">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DELL" refreshedDate="46069.017142013887" createdVersion="5" refreshedVersion="6" minRefreshableVersion="3" recordCount="0" supportSubquery="1" supportAdvancedDrill="1">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DELL" refreshedDate="46069.017142592595" createdVersion="5" refreshedVersion="6" minRefreshableVersion="3" recordCount="0" supportSubquery="1" supportAdvancedDrill="1">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DELL" refreshedDate="46069.017143287034" createdVersion="5" refreshedVersion="6" minRefreshableVersion="3" recordCount="0" supportSubquery="1" supportAdvancedDrill="1">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DELL" refreshedDate="46069.01714398148" createdVersion="5" refreshedVersion="6" minRefreshableVersion="3" recordCount="0" supportSubquery="1" supportAdvancedDrill="1">
  <cacheSource type="external" connectionId="3"/>
  <cacheFields count="4">
    <cacheField name="[Calendar_table].[Date (Month)].[Date (Month)]" caption="Date (Month)" numFmtId="0" hierarchy="1" level="1">
      <sharedItems containsNonDate="0" count="1">
        <s v="Apr"/>
      </sharedItems>
    </cacheField>
    <cacheField name="[Calendar_table].[Date].[Date]" caption="Date" numFmtId="0" level="1">
      <sharedItems containsSemiMixedTypes="0" containsNonDate="0" containsDate="1" containsString="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_table].[Date (Quarter)].[Date (Quarter)]" caption="Date (Quarter)" numFmtId="0" hierarchy="4" level="1">
      <sharedItems containsNonDate="0" count="1">
        <s v="Qtr2"/>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DELL" refreshedDate="46069.01657083333"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Admission Date]" caption="Admission Date" attribute="1" time="1" defaultMemberUniqueName="[Hospital Emergency Room Data].[Admission Date].[All]" allUniqueName="[Hospital Emergency Room Data].[Admission Date].[All]" dimensionUniqueName="[Hospital Emergency Room Data]" displayFolder="" count="0" memberValueDatatype="7" unbalanced="0"/>
    <cacheHierarchy uniqueName="[Hospital Emergency Room Data].[Admission Time]" caption="Admission Time" attribute="1" time="1" defaultMemberUniqueName="[Hospital Emergency Room Data].[Admission Time].[All]" allUniqueName="[Hospital Emergency Room Data].[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8" cacheId="696" applyNumberFormats="0" applyBorderFormats="0" applyFontFormats="0" applyPatternFormats="0" applyAlignmentFormats="0" applyWidthHeightFormats="1" dataCaption="Values" tag="331dfc0d-a613-42e3-bdf0-86cc810be46a" updatedVersion="6" minRefreshableVersion="3" subtotalHiddenItems="1" itemPrintTitles="1" createdVersion="5" indent="0" outline="1" outlineData="1" multipleFieldFilters="0" chartFormat="5">
  <location ref="A53:B62" firstHeaderRow="1" firstDataRow="1" firstDataCol="1"/>
  <pivotFields count="4">
    <pivotField allDrilled="1" showAll="0" dataSourceSort="1" defaultAttributeDrillState="1"/>
    <pivotField axis="axisRow" allDrilled="1" showAll="0" dataSourceSort="1" defaultAttributeDrillState="1">
      <items count="9">
        <item x="0"/>
        <item x="1"/>
        <item x="2"/>
        <item x="3"/>
        <item x="4"/>
        <item x="5"/>
        <item x="6"/>
        <item x="7"/>
        <item t="default"/>
      </items>
    </pivotField>
    <pivotField dataField="1" showAll="0"/>
    <pivotField allDrilled="1" showAll="0" dataSourceSort="1"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1" baseItem="0" numFmtId="1"/>
  </dataFields>
  <formats count="15">
    <format dxfId="1947">
      <pivotArea outline="0" collapsedLevelsAreSubtotals="1" fieldPosition="0"/>
    </format>
    <format dxfId="1948">
      <pivotArea outline="0" collapsedLevelsAreSubtotals="1" fieldPosition="0"/>
    </format>
    <format dxfId="1949">
      <pivotArea outline="0" collapsedLevelsAreSubtotals="1" fieldPosition="0"/>
    </format>
    <format dxfId="1950">
      <pivotArea outline="0" collapsedLevelsAreSubtotals="1" fieldPosition="0"/>
    </format>
    <format dxfId="1951">
      <pivotArea outline="0" collapsedLevelsAreSubtotals="1" fieldPosition="0"/>
    </format>
    <format dxfId="1952">
      <pivotArea outline="0" collapsedLevelsAreSubtotals="1" fieldPosition="0"/>
    </format>
    <format dxfId="1953">
      <pivotArea outline="0" collapsedLevelsAreSubtotals="1" fieldPosition="0"/>
    </format>
    <format dxfId="1954">
      <pivotArea outline="0" collapsedLevelsAreSubtotals="1" fieldPosition="0"/>
    </format>
    <format dxfId="1955">
      <pivotArea outline="0" collapsedLevelsAreSubtotals="1" fieldPosition="0"/>
    </format>
    <format dxfId="1956">
      <pivotArea outline="0" collapsedLevelsAreSubtotals="1" fieldPosition="0"/>
    </format>
    <format dxfId="1957">
      <pivotArea outline="0" collapsedLevelsAreSubtotals="1" fieldPosition="0"/>
    </format>
    <format dxfId="1958">
      <pivotArea outline="0" collapsedLevelsAreSubtotals="1" fieldPosition="0"/>
    </format>
    <format dxfId="1959">
      <pivotArea outline="0" collapsedLevelsAreSubtotals="1" fieldPosition="0"/>
    </format>
    <format dxfId="1960">
      <pivotArea outline="0" collapsedLevelsAreSubtotals="1" fieldPosition="0"/>
    </format>
    <format dxfId="196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2.xml><?xml version="1.0" encoding="utf-8"?>
<pivotTableDefinition xmlns="http://schemas.openxmlformats.org/spreadsheetml/2006/main" name="PivotTable3" cacheId="684" applyNumberFormats="0" applyBorderFormats="0" applyFontFormats="0" applyPatternFormats="0" applyAlignmentFormats="0" applyWidthHeightFormats="1" dataCaption="Values" tag="331dfc0d-a613-42e3-bdf0-86cc810be46a" updatedVersion="6" minRefreshableVersion="3" subtotalHiddenItems="1" itemPrintTitles="1" createdVersion="5" indent="0" outline="1" outlineData="1" multipleFieldFilters="0">
  <location ref="A13:A14"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Satisfaction Score" fld="0" subtotal="average" baseField="0" baseItem="330651728" numFmtId="2"/>
  </dataFields>
  <formats count="7">
    <format dxfId="1981">
      <pivotArea outline="0" collapsedLevelsAreSubtotals="1" fieldPosition="0"/>
    </format>
    <format dxfId="1982">
      <pivotArea outline="0" collapsedLevelsAreSubtotals="1" fieldPosition="0"/>
    </format>
    <format dxfId="1983">
      <pivotArea outline="0" collapsedLevelsAreSubtotals="1" fieldPosition="0"/>
    </format>
    <format dxfId="1984">
      <pivotArea outline="0" collapsedLevelsAreSubtotals="1" fieldPosition="0"/>
    </format>
    <format dxfId="1985">
      <pivotArea outline="0" collapsedLevelsAreSubtotals="1" fieldPosition="0"/>
    </format>
    <format dxfId="1986">
      <pivotArea outline="0" collapsedLevelsAreSubtotals="1" fieldPosition="0"/>
    </format>
    <format dxfId="1987">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3.xml><?xml version="1.0" encoding="utf-8"?>
<pivotTableDefinition xmlns="http://schemas.openxmlformats.org/spreadsheetml/2006/main" name="PivotTable7" cacheId="693" applyNumberFormats="0" applyBorderFormats="0" applyFontFormats="0" applyPatternFormats="0" applyAlignmentFormats="0" applyWidthHeightFormats="1" dataCaption="Values" tag="331dfc0d-a613-42e3-bdf0-86cc810be46a" updatedVersion="6" minRefreshableVersion="3" subtotalHiddenItems="1" itemPrintTitles="1" createdVersion="5" indent="0" outline="1" outlineData="1" multipleFieldFilters="0" chartFormat="1">
  <location ref="A41:C44" firstHeaderRow="0" firstDataRow="1" firstDataCol="1"/>
  <pivotFields count="5">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8">
    <format dxfId="1962">
      <pivotArea outline="0" collapsedLevelsAreSubtotals="1" fieldPosition="0"/>
    </format>
    <format dxfId="1963">
      <pivotArea outline="0" collapsedLevelsAreSubtotals="1" fieldPosition="0"/>
    </format>
    <format dxfId="1964">
      <pivotArea outline="0" collapsedLevelsAreSubtotals="1" fieldPosition="0"/>
    </format>
    <format dxfId="1965">
      <pivotArea outline="0" collapsedLevelsAreSubtotals="1" fieldPosition="0"/>
    </format>
    <format dxfId="1966">
      <pivotArea outline="0" collapsedLevelsAreSubtotals="1" fieldPosition="0"/>
    </format>
    <format dxfId="1967">
      <pivotArea outline="0" collapsedLevelsAreSubtotals="1" fieldPosition="0"/>
    </format>
    <format dxfId="1968">
      <pivotArea outline="0" collapsedLevelsAreSubtotals="1" fieldPosition="0"/>
    </format>
    <format dxfId="1969">
      <pivotArea outline="0" fieldPosition="0">
        <references count="1">
          <reference field="4294967294" count="1">
            <x v="1"/>
          </reference>
        </references>
      </pivotArea>
    </format>
  </format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4.xml><?xml version="1.0" encoding="utf-8"?>
<pivotTableDefinition xmlns="http://schemas.openxmlformats.org/spreadsheetml/2006/main" name="PivotTable12" cacheId="708" applyNumberFormats="0" applyBorderFormats="0" applyFontFormats="0" applyPatternFormats="0" applyAlignmentFormats="0" applyWidthHeightFormats="1" dataCaption="Values" tag="331dfc0d-a613-42e3-bdf0-86cc810be46a" updatedVersion="6" minRefreshableVersion="3" subtotalHiddenItems="1" itemPrintTitles="1" createdVersion="5" indent="0" outline="1" outlineData="1" multipleFieldFilters="0" chartFormat="17">
  <location ref="A70:A72" firstHeaderRow="1" firstDataRow="1" firstDataCol="1"/>
  <pivotFields count="4">
    <pivotField axis="axisRow" allDrilled="1" showAll="0" dataSourceSort="1">
      <items count="2">
        <item s="1" x="0" e="0"/>
        <item t="default"/>
      </items>
    </pivotField>
    <pivotField axis="axisRow" allDrilled="1" showAll="0" dataSourceSort="1"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allDrilled="1" showAll="0" dataSourceSort="1">
      <items count="2">
        <item x="0" e="0"/>
        <item t="default"/>
      </items>
    </pivotField>
    <pivotField axis="axisRow" allDrilled="1" showAll="0" dataSourceSort="1">
      <items count="2">
        <item s="1" x="0" e="0"/>
        <item t="default"/>
      </items>
    </pivotField>
  </pivotFields>
  <rowFields count="4">
    <field x="3"/>
    <field x="2"/>
    <field x="0"/>
    <field x="1"/>
  </rowFields>
  <rowItems count="2">
    <i>
      <x/>
    </i>
    <i t="grand">
      <x/>
    </i>
  </rowItems>
  <formats count="15">
    <format dxfId="1887">
      <pivotArea outline="0" collapsedLevelsAreSubtotals="1" fieldPosition="0"/>
    </format>
    <format dxfId="1888">
      <pivotArea outline="0" collapsedLevelsAreSubtotals="1" fieldPosition="0"/>
    </format>
    <format dxfId="1889">
      <pivotArea outline="0" collapsedLevelsAreSubtotals="1" fieldPosition="0"/>
    </format>
    <format dxfId="1890">
      <pivotArea outline="0" collapsedLevelsAreSubtotals="1" fieldPosition="0"/>
    </format>
    <format dxfId="1891">
      <pivotArea outline="0" collapsedLevelsAreSubtotals="1" fieldPosition="0"/>
    </format>
    <format dxfId="1892">
      <pivotArea outline="0" collapsedLevelsAreSubtotals="1" fieldPosition="0"/>
    </format>
    <format dxfId="1893">
      <pivotArea outline="0" collapsedLevelsAreSubtotals="1" fieldPosition="0"/>
    </format>
    <format dxfId="1894">
      <pivotArea outline="0" collapsedLevelsAreSubtotals="1" fieldPosition="0"/>
    </format>
    <format dxfId="1895">
      <pivotArea outline="0" collapsedLevelsAreSubtotals="1" fieldPosition="0"/>
    </format>
    <format dxfId="1896">
      <pivotArea outline="0" collapsedLevelsAreSubtotals="1" fieldPosition="0"/>
    </format>
    <format dxfId="1897">
      <pivotArea outline="0" collapsedLevelsAreSubtotals="1" fieldPosition="0"/>
    </format>
    <format dxfId="1898">
      <pivotArea outline="0" collapsedLevelsAreSubtotals="1" fieldPosition="0"/>
    </format>
    <format dxfId="1899">
      <pivotArea outline="0" collapsedLevelsAreSubtotals="1" fieldPosition="0"/>
    </format>
    <format dxfId="1900">
      <pivotArea outline="0" collapsedLevelsAreSubtotals="1" fieldPosition="0"/>
    </format>
    <format dxfId="1901">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5.xml><?xml version="1.0" encoding="utf-8"?>
<pivotTableDefinition xmlns="http://schemas.openxmlformats.org/spreadsheetml/2006/main" name="PivotTable11" cacheId="705" applyNumberFormats="0" applyBorderFormats="0" applyFontFormats="0" applyPatternFormats="0" applyAlignmentFormats="0" applyWidthHeightFormats="1" dataCaption="Values" tag="331dfc0d-a613-42e3-bdf0-86cc810be46a" updatedVersion="6" minRefreshableVersion="3" subtotalHiddenItems="1" itemPrintTitles="1" createdVersion="5" indent="0" outline="1" outlineData="1" multipleFieldFilters="0" chartFormat="17">
  <location ref="F68:G77" firstHeaderRow="1" firstDataRow="1" firstDataCol="1"/>
  <pivotFields count="4">
    <pivotField allDrilled="1" showAll="0" dataSourceSort="1" defaultAttributeDrillState="1"/>
    <pivotField axis="axisRow" allDrilled="1"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formats count="15">
    <format dxfId="1902">
      <pivotArea outline="0" collapsedLevelsAreSubtotals="1" fieldPosition="0"/>
    </format>
    <format dxfId="1903">
      <pivotArea outline="0" collapsedLevelsAreSubtotals="1" fieldPosition="0"/>
    </format>
    <format dxfId="1904">
      <pivotArea outline="0" collapsedLevelsAreSubtotals="1" fieldPosition="0"/>
    </format>
    <format dxfId="1905">
      <pivotArea outline="0" collapsedLevelsAreSubtotals="1" fieldPosition="0"/>
    </format>
    <format dxfId="1906">
      <pivotArea outline="0" collapsedLevelsAreSubtotals="1" fieldPosition="0"/>
    </format>
    <format dxfId="1907">
      <pivotArea outline="0" collapsedLevelsAreSubtotals="1" fieldPosition="0"/>
    </format>
    <format dxfId="1908">
      <pivotArea outline="0" collapsedLevelsAreSubtotals="1" fieldPosition="0"/>
    </format>
    <format dxfId="1909">
      <pivotArea outline="0" collapsedLevelsAreSubtotals="1" fieldPosition="0"/>
    </format>
    <format dxfId="1910">
      <pivotArea outline="0" collapsedLevelsAreSubtotals="1" fieldPosition="0"/>
    </format>
    <format dxfId="1911">
      <pivotArea outline="0" collapsedLevelsAreSubtotals="1" fieldPosition="0"/>
    </format>
    <format dxfId="1912">
      <pivotArea outline="0" collapsedLevelsAreSubtotals="1" fieldPosition="0"/>
    </format>
    <format dxfId="1913">
      <pivotArea outline="0" collapsedLevelsAreSubtotals="1" fieldPosition="0"/>
    </format>
    <format dxfId="1914">
      <pivotArea outline="0" collapsedLevelsAreSubtotals="1" fieldPosition="0"/>
    </format>
    <format dxfId="1915">
      <pivotArea outline="0" collapsedLevelsAreSubtotals="1" fieldPosition="0"/>
    </format>
    <format dxfId="1916">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6.xml><?xml version="1.0" encoding="utf-8"?>
<pivotTableDefinition xmlns="http://schemas.openxmlformats.org/spreadsheetml/2006/main" name="PivotTable2" cacheId="681" applyNumberFormats="0" applyBorderFormats="0" applyFontFormats="0" applyPatternFormats="0" applyAlignmentFormats="0" applyWidthHeightFormats="1" dataCaption="Values" tag="703bef07-0485-45af-b382-b3850cfaa8df" updatedVersion="6" minRefreshableVersion="3" subtotalHiddenItems="1" itemPrintTitles="1" createdVersion="5" indent="0" outline="1" outlineData="1" multipleFieldFilters="0">
  <location ref="A8:A9"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Patient Waittime" fld="0" subtotal="average" baseField="0" baseItem="329466696" numFmtId="2"/>
  </dataFields>
  <formats count="10">
    <format dxfId="1988">
      <pivotArea outline="0" collapsedLevelsAreSubtotals="1" fieldPosition="0"/>
    </format>
    <format dxfId="1989">
      <pivotArea outline="0" collapsedLevelsAreSubtotals="1" fieldPosition="0"/>
    </format>
    <format dxfId="1990">
      <pivotArea outline="0" collapsedLevelsAreSubtotals="1" fieldPosition="0"/>
    </format>
    <format dxfId="1991">
      <pivotArea outline="0" collapsedLevelsAreSubtotals="1" fieldPosition="0"/>
    </format>
    <format dxfId="1992">
      <pivotArea outline="0" collapsedLevelsAreSubtotals="1" fieldPosition="0"/>
    </format>
    <format dxfId="1993">
      <pivotArea outline="0" collapsedLevelsAreSubtotals="1" fieldPosition="0"/>
    </format>
    <format dxfId="1994">
      <pivotArea outline="0" collapsedLevelsAreSubtotals="1" fieldPosition="0"/>
    </format>
    <format dxfId="1995">
      <pivotArea outline="0" collapsedLevelsAreSubtotals="1" fieldPosition="0"/>
    </format>
    <format dxfId="1996">
      <pivotArea outline="0" collapsedLevelsAreSubtotals="1" fieldPosition="0"/>
    </format>
    <format dxfId="1997">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Lst>
</pivotTableDefinition>
</file>

<file path=xl/pivotTables/pivotTable7.xml><?xml version="1.0" encoding="utf-8"?>
<pivotTableDefinition xmlns="http://schemas.openxmlformats.org/spreadsheetml/2006/main" name="PivotTable6" cacheId="690" applyNumberFormats="0" applyBorderFormats="0" applyFontFormats="0" applyPatternFormats="0" applyAlignmentFormats="0" applyWidthHeightFormats="1" dataCaption="Values" tag="020597ad-9309-4509-96a2-6589130f5864" updatedVersion="6" minRefreshableVersion="3" subtotalHiddenItems="1" itemPrintTitles="1" createdVersion="5" indent="0" outline="1" outlineData="1" multipleFieldFilters="0" chartFormat="13">
  <location ref="R5:S36" firstHeaderRow="1" firstDataRow="1" firstDataCol="1"/>
  <pivotFields count="4">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llDrilled="1" showAll="0" dataSourceSort="1" defaultAttributeDrillState="1"/>
    <pivotField dataField="1" showAll="0"/>
    <pivotField allDrilled="1" showAll="0" dataSourceSort="1"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numFmtId="2"/>
  </dataFields>
  <formats count="3">
    <format dxfId="1970">
      <pivotArea outline="0" collapsedLevelsAreSubtotals="1" fieldPosition="0"/>
    </format>
    <format dxfId="1971">
      <pivotArea outline="0" collapsedLevelsAreSubtotals="1" fieldPosition="0"/>
    </format>
    <format dxfId="1972">
      <pivotArea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8.xml><?xml version="1.0" encoding="utf-8"?>
<pivotTableDefinition xmlns="http://schemas.openxmlformats.org/spreadsheetml/2006/main" name="PivotTable10" cacheId="702" applyNumberFormats="0" applyBorderFormats="0" applyFontFormats="0" applyPatternFormats="0" applyAlignmentFormats="0" applyWidthHeightFormats="1" dataCaption="Values" tag="331dfc0d-a613-42e3-bdf0-86cc810be46a" updatedVersion="6" minRefreshableVersion="3" subtotalHiddenItems="1" itemPrintTitles="1" createdVersion="5" indent="0" outline="1" outlineData="1" multipleFieldFilters="0" chartFormat="14">
  <location ref="F61:G64"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Gender" fld="2" subtotal="count" baseField="0" baseItem="0"/>
  </dataFields>
  <formats count="15">
    <format dxfId="1917">
      <pivotArea outline="0" collapsedLevelsAreSubtotals="1" fieldPosition="0"/>
    </format>
    <format dxfId="1918">
      <pivotArea outline="0" collapsedLevelsAreSubtotals="1" fieldPosition="0"/>
    </format>
    <format dxfId="1919">
      <pivotArea outline="0" collapsedLevelsAreSubtotals="1" fieldPosition="0"/>
    </format>
    <format dxfId="1920">
      <pivotArea outline="0" collapsedLevelsAreSubtotals="1" fieldPosition="0"/>
    </format>
    <format dxfId="1921">
      <pivotArea outline="0" collapsedLevelsAreSubtotals="1" fieldPosition="0"/>
    </format>
    <format dxfId="1922">
      <pivotArea outline="0" collapsedLevelsAreSubtotals="1" fieldPosition="0"/>
    </format>
    <format dxfId="1923">
      <pivotArea outline="0" collapsedLevelsAreSubtotals="1" fieldPosition="0"/>
    </format>
    <format dxfId="1924">
      <pivotArea outline="0" collapsedLevelsAreSubtotals="1" fieldPosition="0"/>
    </format>
    <format dxfId="1925">
      <pivotArea outline="0" collapsedLevelsAreSubtotals="1" fieldPosition="0"/>
    </format>
    <format dxfId="1926">
      <pivotArea outline="0" collapsedLevelsAreSubtotals="1" fieldPosition="0"/>
    </format>
    <format dxfId="1927">
      <pivotArea outline="0" collapsedLevelsAreSubtotals="1" fieldPosition="0"/>
    </format>
    <format dxfId="1928">
      <pivotArea outline="0" collapsedLevelsAreSubtotals="1" fieldPosition="0"/>
    </format>
    <format dxfId="1929">
      <pivotArea outline="0" collapsedLevelsAreSubtotals="1" fieldPosition="0"/>
    </format>
    <format dxfId="1930">
      <pivotArea outline="0" collapsedLevelsAreSubtotals="1" fieldPosition="0"/>
    </format>
    <format dxfId="1931">
      <pivotArea outline="0" collapsedLevelsAreSubtotals="1" fieldPosition="0"/>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9.xml><?xml version="1.0" encoding="utf-8"?>
<pivotTableDefinition xmlns="http://schemas.openxmlformats.org/spreadsheetml/2006/main" name="PivotTable5" cacheId="687" applyNumberFormats="0" applyBorderFormats="0" applyFontFormats="0" applyPatternFormats="0" applyAlignmentFormats="0" applyWidthHeightFormats="1" dataCaption="Values" tag="020597ad-9309-4509-96a2-6589130f5864" updatedVersion="6" minRefreshableVersion="3" subtotalHiddenItems="1" itemPrintTitles="1" createdVersion="5" indent="0" outline="1" outlineData="1" multipleFieldFilters="0" chartFormat="15">
  <location ref="O5:P36" firstHeaderRow="1" firstDataRow="1" firstDataCol="1"/>
  <pivotFields count="4">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llDrilled="1" showAll="0" dataSourceSort="1" defaultAttributeDrillState="1"/>
    <pivotField dataField="1" showAll="0"/>
    <pivotField allDrilled="1" showAll="0" dataSourceSort="1"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8">
    <format dxfId="1973">
      <pivotArea outline="0" collapsedLevelsAreSubtotals="1" fieldPosition="0"/>
    </format>
    <format dxfId="1974">
      <pivotArea outline="0" collapsedLevelsAreSubtotals="1" fieldPosition="0"/>
    </format>
    <format dxfId="1975">
      <pivotArea outline="0" collapsedLevelsAreSubtotals="1" fieldPosition="0"/>
    </format>
    <format dxfId="1976">
      <pivotArea outline="0" collapsedLevelsAreSubtotals="1" fieldPosition="0"/>
    </format>
    <format dxfId="1977">
      <pivotArea outline="0" collapsedLevelsAreSubtotals="1" fieldPosition="0"/>
    </format>
    <format dxfId="1978">
      <pivotArea outline="0" collapsedLevelsAreSubtotals="1" fieldPosition="0"/>
    </format>
    <format dxfId="1979">
      <pivotArea outline="0" collapsedLevelsAreSubtotals="1" fieldPosition="0"/>
    </format>
    <format dxfId="1980">
      <pivotArea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0.xml><?xml version="1.0" encoding="utf-8"?>
<pivotTableDefinition xmlns="http://schemas.openxmlformats.org/spreadsheetml/2006/main" name="PivotTable4" cacheId="675" applyNumberFormats="0" applyBorderFormats="0" applyFontFormats="0" applyPatternFormats="0" applyAlignmentFormats="0" applyWidthHeightFormats="1" dataCaption="Values" tag="020597ad-9309-4509-96a2-6589130f5864" updatedVersion="6" minRefreshableVersion="3" subtotalHiddenItems="1" itemPrintTitles="1" createdVersion="5" indent="0" outline="1" outlineData="1" multipleFieldFilters="0" chartFormat="8">
  <location ref="L5:M36" firstHeaderRow="1" firstDataRow="1" firstDataCol="1"/>
  <pivotFields count="4">
    <pivotField dataField="1" showAll="0"/>
    <pivotField allDrilled="1" showAll="0" dataSourceSort="1" defaultAttributeDrillState="1"/>
    <pivotField allDrilled="1" showAll="0" dataSourceSort="1" defaultAttributeDrillState="1"/>
    <pivotField axis="axisRow" allDrilled="1" showAll="0" dataSourceSort="1"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399649984">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1.xml><?xml version="1.0" encoding="utf-8"?>
<pivotTableDefinition xmlns="http://schemas.openxmlformats.org/spreadsheetml/2006/main" name="PivotTable9" cacheId="699" applyNumberFormats="0" applyBorderFormats="0" applyFontFormats="0" applyPatternFormats="0" applyAlignmentFormats="0" applyWidthHeightFormats="1" dataCaption="Values" tag="331dfc0d-a613-42e3-bdf0-86cc810be46a" updatedVersion="6" minRefreshableVersion="3" subtotalHiddenItems="1" itemPrintTitles="1" createdVersion="5" indent="0" outline="1" outlineData="1" multipleFieldFilters="0" chartFormat="11">
  <location ref="F53:G56" firstHeaderRow="1" firstDataRow="1" firstDataCol="1"/>
  <pivotFields count="4">
    <pivotField allDrilled="1" showAll="0" dataSourceSort="1" defaultAttributeDrillState="1"/>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5">
    <format dxfId="1932">
      <pivotArea outline="0" collapsedLevelsAreSubtotals="1" fieldPosition="0"/>
    </format>
    <format dxfId="1933">
      <pivotArea outline="0" collapsedLevelsAreSubtotals="1" fieldPosition="0"/>
    </format>
    <format dxfId="1934">
      <pivotArea outline="0" collapsedLevelsAreSubtotals="1" fieldPosition="0"/>
    </format>
    <format dxfId="1935">
      <pivotArea outline="0" collapsedLevelsAreSubtotals="1" fieldPosition="0"/>
    </format>
    <format dxfId="1936">
      <pivotArea outline="0" collapsedLevelsAreSubtotals="1" fieldPosition="0"/>
    </format>
    <format dxfId="1937">
      <pivotArea outline="0" collapsedLevelsAreSubtotals="1" fieldPosition="0"/>
    </format>
    <format dxfId="1938">
      <pivotArea outline="0" collapsedLevelsAreSubtotals="1" fieldPosition="0"/>
    </format>
    <format dxfId="1939">
      <pivotArea outline="0" collapsedLevelsAreSubtotals="1" fieldPosition="0"/>
    </format>
    <format dxfId="1940">
      <pivotArea outline="0" collapsedLevelsAreSubtotals="1" fieldPosition="0"/>
    </format>
    <format dxfId="1941">
      <pivotArea outline="0" collapsedLevelsAreSubtotals="1" fieldPosition="0"/>
    </format>
    <format dxfId="1942">
      <pivotArea outline="0" collapsedLevelsAreSubtotals="1" fieldPosition="0"/>
    </format>
    <format dxfId="1943">
      <pivotArea outline="0" collapsedLevelsAreSubtotals="1" fieldPosition="0"/>
    </format>
    <format dxfId="1944">
      <pivotArea outline="0" collapsedLevelsAreSubtotals="1" fieldPosition="0"/>
    </format>
    <format dxfId="1945">
      <pivotArea outline="0" collapsedLevelsAreSubtotals="1" fieldPosition="0"/>
    </format>
    <format dxfId="1946">
      <pivotArea outline="0" collapsedLevelsAreSubtotals="1" fieldPosition="0"/>
    </format>
  </formats>
  <chartFormats count="3">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 count="1" selected="0">
            <x v="0"/>
          </reference>
        </references>
      </pivotArea>
    </chartFormat>
    <chartFormat chart="10" format="9">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pivotTables/pivotTable12.xml><?xml version="1.0" encoding="utf-8"?>
<pivotTableDefinition xmlns="http://schemas.openxmlformats.org/spreadsheetml/2006/main" name="PivotTable1" cacheId="678" applyNumberFormats="0" applyBorderFormats="0" applyFontFormats="0" applyPatternFormats="0" applyAlignmentFormats="0" applyWidthHeightFormats="1" dataCaption="Values" tag="3128c61f-c552-4fe6-9f07-4ed23d39228f" updatedVersion="6" minRefreshableVersion="3" subtotalHiddenItems="1" itemPrintTitles="1" createdVersion="5" indent="0" outline="1" outlineData="1" multipleFieldFilters="0">
  <location ref="A2:A3"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Distinct Count of Patient Id" fld="0" subtotal="count" baseField="0" baseItem="399649984">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__Month"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8">
      <levels count="2">
        <level uniqueName="[Calendar_table].[Date (Month)].[(All)]" sourceCaption="(All)" count="0"/>
        <level uniqueName="[Calendar_table].[Date (Month)].[Date (Month)]" sourceCaption="Date (Month)" count="12" sortOrder="ascending">
          <ranges>
            <range startItem="0">
              <i n="[Calendar_table].[Date (Month)].&amp;[Apr]" c="Apr"/>
              <i n="[Calendar_table].[Date (Month)].&amp;[Aug]" c="Aug"/>
              <i n="[Calendar_table].[Date (Month)].&amp;[Dec]" c="Dec"/>
              <i n="[Calendar_table].[Date (Month)].&amp;[Feb]" c="Feb"/>
              <i n="[Calendar_table].[Date (Month)].&amp;[Jan]" c="Jan"/>
              <i n="[Calendar_table].[Date (Month)].&amp;[Jul]" c="Jul"/>
              <i n="[Calendar_table].[Date (Month)].&amp;[Jun]" c="Jun"/>
              <i n="[Calendar_table].[Date (Month)].&amp;[Mar]" c="Mar"/>
              <i n="[Calendar_table].[Date (Month)].&amp;[May]" c="May"/>
              <i n="[Calendar_table].[Date (Month)].&amp;[Nov]" c="Nov"/>
              <i n="[Calendar_table].[Date (Month)].&amp;[Oct]" c="Oct"/>
              <i n="[Calendar_table].[Date (Month)].&amp;[Sep]" c="Sep"/>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__Year"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8">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Month)" cache="Slicer_Date__Month" caption="Date (Month)"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ate (Month) 1" cache="Slicer_Date__Month" caption="Date (Month)" showCaption="0" level="1" style="SlicerStyleLight1 2" rowHeight="216000"/>
  <slicer name="Date (Year)" cache="Slicer_Date__Year" caption="Date (Year)" columnCount="2" showCaption="0" level="1" style="SlicerStyleLight1 3"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7"/>
  <sheetViews>
    <sheetView showGridLines="0" workbookViewId="0">
      <selection activeCell="L7" sqref="L6:L35"/>
    </sheetView>
  </sheetViews>
  <sheetFormatPr defaultRowHeight="15" x14ac:dyDescent="0.25"/>
  <cols>
    <col min="1" max="1" width="16.85546875" customWidth="1"/>
    <col min="2" max="2" width="14.42578125" customWidth="1"/>
    <col min="3" max="3" width="10.42578125" customWidth="1"/>
    <col min="6" max="6" width="15" customWidth="1"/>
    <col min="7" max="7" width="17.5703125" customWidth="1"/>
    <col min="12" max="13" width="25.140625" bestFit="1" customWidth="1"/>
    <col min="15" max="15" width="16.85546875" customWidth="1"/>
    <col min="16" max="16" width="27.28515625" customWidth="1"/>
    <col min="18" max="18" width="17" customWidth="1"/>
    <col min="19" max="19" width="33.28515625" customWidth="1"/>
  </cols>
  <sheetData>
    <row r="1" spans="1:19" x14ac:dyDescent="0.25">
      <c r="A1" t="s">
        <v>1</v>
      </c>
    </row>
    <row r="2" spans="1:19" x14ac:dyDescent="0.25">
      <c r="A2" t="s">
        <v>0</v>
      </c>
    </row>
    <row r="3" spans="1:19" x14ac:dyDescent="0.25">
      <c r="A3" s="1">
        <v>479</v>
      </c>
    </row>
    <row r="4" spans="1:19" x14ac:dyDescent="0.25">
      <c r="L4" t="s">
        <v>6</v>
      </c>
      <c r="O4" t="s">
        <v>7</v>
      </c>
      <c r="R4" t="s">
        <v>25</v>
      </c>
    </row>
    <row r="5" spans="1:19" x14ac:dyDescent="0.25">
      <c r="L5" s="6" t="s">
        <v>5</v>
      </c>
      <c r="M5" t="s">
        <v>0</v>
      </c>
      <c r="O5" s="6" t="s">
        <v>5</v>
      </c>
      <c r="P5" t="s">
        <v>2</v>
      </c>
      <c r="R5" s="6" t="s">
        <v>5</v>
      </c>
      <c r="S5" t="s">
        <v>3</v>
      </c>
    </row>
    <row r="6" spans="1:19" x14ac:dyDescent="0.25">
      <c r="L6" s="16">
        <v>45017</v>
      </c>
      <c r="M6" s="1">
        <v>19</v>
      </c>
      <c r="O6" s="7" t="s">
        <v>42</v>
      </c>
      <c r="P6" s="3">
        <v>40.473684210526315</v>
      </c>
      <c r="R6" s="7" t="s">
        <v>42</v>
      </c>
      <c r="S6" s="3">
        <v>3.8</v>
      </c>
    </row>
    <row r="7" spans="1:19" x14ac:dyDescent="0.25">
      <c r="L7" s="16">
        <v>45018</v>
      </c>
      <c r="M7" s="1">
        <v>13</v>
      </c>
      <c r="O7" s="7" t="s">
        <v>43</v>
      </c>
      <c r="P7" s="3">
        <v>29.46153846153846</v>
      </c>
      <c r="R7" s="7" t="s">
        <v>43</v>
      </c>
      <c r="S7" s="3">
        <v>7.75</v>
      </c>
    </row>
    <row r="8" spans="1:19" x14ac:dyDescent="0.25">
      <c r="A8" t="s">
        <v>2</v>
      </c>
      <c r="L8" s="16">
        <v>45019</v>
      </c>
      <c r="M8" s="1">
        <v>14</v>
      </c>
      <c r="O8" s="7" t="s">
        <v>44</v>
      </c>
      <c r="P8" s="3">
        <v>33.928571428571431</v>
      </c>
      <c r="R8" s="7" t="s">
        <v>44</v>
      </c>
      <c r="S8" s="3">
        <v>4.5999999999999996</v>
      </c>
    </row>
    <row r="9" spans="1:19" x14ac:dyDescent="0.25">
      <c r="A9" s="3">
        <v>34.90187891440501</v>
      </c>
      <c r="L9" s="16">
        <v>45020</v>
      </c>
      <c r="M9" s="1">
        <v>9</v>
      </c>
      <c r="O9" s="7" t="s">
        <v>45</v>
      </c>
      <c r="P9" s="3">
        <v>32.222222222222221</v>
      </c>
      <c r="R9" s="7" t="s">
        <v>45</v>
      </c>
      <c r="S9" s="3">
        <v>6</v>
      </c>
    </row>
    <row r="10" spans="1:19" x14ac:dyDescent="0.25">
      <c r="L10" s="16">
        <v>45021</v>
      </c>
      <c r="M10" s="1">
        <v>19</v>
      </c>
      <c r="O10" s="7" t="s">
        <v>46</v>
      </c>
      <c r="P10" s="3">
        <v>35.736842105263158</v>
      </c>
      <c r="R10" s="7" t="s">
        <v>46</v>
      </c>
      <c r="S10" s="3">
        <v>5.5714285714285712</v>
      </c>
    </row>
    <row r="11" spans="1:19" x14ac:dyDescent="0.25">
      <c r="L11" s="16">
        <v>45022</v>
      </c>
      <c r="M11" s="1">
        <v>14</v>
      </c>
      <c r="O11" s="7" t="s">
        <v>47</v>
      </c>
      <c r="P11" s="3">
        <v>30.142857142857142</v>
      </c>
      <c r="R11" s="7" t="s">
        <v>47</v>
      </c>
      <c r="S11" s="3">
        <v>2</v>
      </c>
    </row>
    <row r="12" spans="1:19" x14ac:dyDescent="0.25">
      <c r="L12" s="16">
        <v>45023</v>
      </c>
      <c r="M12" s="1">
        <v>11</v>
      </c>
      <c r="O12" s="7" t="s">
        <v>48</v>
      </c>
      <c r="P12" s="3">
        <v>33.81818181818182</v>
      </c>
      <c r="R12" s="7" t="s">
        <v>48</v>
      </c>
      <c r="S12" s="3">
        <v>8</v>
      </c>
    </row>
    <row r="13" spans="1:19" x14ac:dyDescent="0.25">
      <c r="A13" t="s">
        <v>3</v>
      </c>
      <c r="L13" s="16">
        <v>45024</v>
      </c>
      <c r="M13" s="1">
        <v>22</v>
      </c>
      <c r="O13" s="7" t="s">
        <v>49</v>
      </c>
      <c r="P13" s="3">
        <v>31.681818181818183</v>
      </c>
      <c r="R13" s="7" t="s">
        <v>49</v>
      </c>
      <c r="S13" s="3">
        <v>8</v>
      </c>
    </row>
    <row r="14" spans="1:19" x14ac:dyDescent="0.25">
      <c r="A14" s="3">
        <v>5.3034482758620687</v>
      </c>
      <c r="L14" s="16">
        <v>45025</v>
      </c>
      <c r="M14" s="1">
        <v>12</v>
      </c>
      <c r="O14" s="7" t="s">
        <v>50</v>
      </c>
      <c r="P14" s="3">
        <v>36.416666666666664</v>
      </c>
      <c r="R14" s="7" t="s">
        <v>50</v>
      </c>
      <c r="S14" s="3">
        <v>5.25</v>
      </c>
    </row>
    <row r="15" spans="1:19" x14ac:dyDescent="0.25">
      <c r="L15" s="16">
        <v>45026</v>
      </c>
      <c r="M15" s="1">
        <v>13</v>
      </c>
      <c r="O15" s="7" t="s">
        <v>51</v>
      </c>
      <c r="P15" s="3">
        <v>33.692307692307693</v>
      </c>
      <c r="R15" s="7" t="s">
        <v>51</v>
      </c>
      <c r="S15" s="3">
        <v>6</v>
      </c>
    </row>
    <row r="16" spans="1:19" x14ac:dyDescent="0.25">
      <c r="L16" s="16">
        <v>45027</v>
      </c>
      <c r="M16" s="1">
        <v>17</v>
      </c>
      <c r="O16" s="7" t="s">
        <v>52</v>
      </c>
      <c r="P16" s="3">
        <v>39.117647058823529</v>
      </c>
      <c r="R16" s="7" t="s">
        <v>52</v>
      </c>
      <c r="S16" s="3">
        <v>6.5</v>
      </c>
    </row>
    <row r="17" spans="12:19" x14ac:dyDescent="0.25">
      <c r="L17" s="16">
        <v>45028</v>
      </c>
      <c r="M17" s="1">
        <v>30</v>
      </c>
      <c r="O17" s="7" t="s">
        <v>53</v>
      </c>
      <c r="P17" s="3">
        <v>36.93333333333333</v>
      </c>
      <c r="R17" s="7" t="s">
        <v>53</v>
      </c>
      <c r="S17" s="3">
        <v>5.75</v>
      </c>
    </row>
    <row r="18" spans="12:19" x14ac:dyDescent="0.25">
      <c r="L18" s="16">
        <v>45029</v>
      </c>
      <c r="M18" s="1">
        <v>13</v>
      </c>
      <c r="O18" s="7" t="s">
        <v>54</v>
      </c>
      <c r="P18" s="3">
        <v>29.923076923076923</v>
      </c>
      <c r="R18" s="7" t="s">
        <v>54</v>
      </c>
      <c r="S18" s="3">
        <v>5.6</v>
      </c>
    </row>
    <row r="19" spans="12:19" x14ac:dyDescent="0.25">
      <c r="L19" s="16">
        <v>45030</v>
      </c>
      <c r="M19" s="1">
        <v>21</v>
      </c>
      <c r="O19" s="7" t="s">
        <v>55</v>
      </c>
      <c r="P19" s="3">
        <v>31.666666666666668</v>
      </c>
      <c r="R19" s="7" t="s">
        <v>55</v>
      </c>
      <c r="S19" s="3">
        <v>6.5</v>
      </c>
    </row>
    <row r="20" spans="12:19" x14ac:dyDescent="0.25">
      <c r="L20" s="16">
        <v>45031</v>
      </c>
      <c r="M20" s="1">
        <v>12</v>
      </c>
      <c r="O20" s="7" t="s">
        <v>56</v>
      </c>
      <c r="P20" s="3">
        <v>40.25</v>
      </c>
      <c r="R20" s="7" t="s">
        <v>56</v>
      </c>
      <c r="S20" s="3">
        <v>5.666666666666667</v>
      </c>
    </row>
    <row r="21" spans="12:19" x14ac:dyDescent="0.25">
      <c r="L21" s="16">
        <v>45032</v>
      </c>
      <c r="M21" s="1">
        <v>17</v>
      </c>
      <c r="O21" s="7" t="s">
        <v>57</v>
      </c>
      <c r="P21" s="3">
        <v>30</v>
      </c>
      <c r="R21" s="7" t="s">
        <v>57</v>
      </c>
      <c r="S21" s="3">
        <v>5.666666666666667</v>
      </c>
    </row>
    <row r="22" spans="12:19" x14ac:dyDescent="0.25">
      <c r="L22" s="16">
        <v>45033</v>
      </c>
      <c r="M22" s="1">
        <v>16</v>
      </c>
      <c r="O22" s="7" t="s">
        <v>58</v>
      </c>
      <c r="P22" s="3">
        <v>35</v>
      </c>
      <c r="R22" s="7" t="s">
        <v>58</v>
      </c>
      <c r="S22" s="3">
        <v>5.8</v>
      </c>
    </row>
    <row r="23" spans="12:19" x14ac:dyDescent="0.25">
      <c r="L23" s="16">
        <v>45034</v>
      </c>
      <c r="M23" s="1">
        <v>20</v>
      </c>
      <c r="O23" s="7" t="s">
        <v>59</v>
      </c>
      <c r="P23" s="3">
        <v>41.85</v>
      </c>
      <c r="R23" s="7" t="s">
        <v>59</v>
      </c>
      <c r="S23" s="3">
        <v>4.666666666666667</v>
      </c>
    </row>
    <row r="24" spans="12:19" x14ac:dyDescent="0.25">
      <c r="L24" s="16">
        <v>45035</v>
      </c>
      <c r="M24" s="1">
        <v>18</v>
      </c>
      <c r="O24" s="7" t="s">
        <v>60</v>
      </c>
      <c r="P24" s="3">
        <v>33.277777777777779</v>
      </c>
      <c r="R24" s="7" t="s">
        <v>60</v>
      </c>
      <c r="S24" s="3">
        <v>4.833333333333333</v>
      </c>
    </row>
    <row r="25" spans="12:19" x14ac:dyDescent="0.25">
      <c r="L25" s="16">
        <v>45036</v>
      </c>
      <c r="M25" s="1">
        <v>16</v>
      </c>
      <c r="O25" s="7" t="s">
        <v>61</v>
      </c>
      <c r="P25" s="3">
        <v>32.9375</v>
      </c>
      <c r="R25" s="7" t="s">
        <v>61</v>
      </c>
      <c r="S25" s="3">
        <v>2.3333333333333335</v>
      </c>
    </row>
    <row r="26" spans="12:19" x14ac:dyDescent="0.25">
      <c r="L26" s="16">
        <v>45037</v>
      </c>
      <c r="M26" s="1">
        <v>15</v>
      </c>
      <c r="O26" s="7" t="s">
        <v>62</v>
      </c>
      <c r="P26" s="3">
        <v>33.266666666666666</v>
      </c>
      <c r="R26" s="7" t="s">
        <v>62</v>
      </c>
      <c r="S26" s="3">
        <v>4.5</v>
      </c>
    </row>
    <row r="27" spans="12:19" x14ac:dyDescent="0.25">
      <c r="L27" s="16">
        <v>45038</v>
      </c>
      <c r="M27" s="1">
        <v>18</v>
      </c>
      <c r="O27" s="7" t="s">
        <v>63</v>
      </c>
      <c r="P27" s="3">
        <v>34.444444444444443</v>
      </c>
      <c r="R27" s="7" t="s">
        <v>63</v>
      </c>
      <c r="S27" s="3">
        <v>6.666666666666667</v>
      </c>
    </row>
    <row r="28" spans="12:19" x14ac:dyDescent="0.25">
      <c r="L28" s="16">
        <v>45039</v>
      </c>
      <c r="M28" s="1">
        <v>12</v>
      </c>
      <c r="O28" s="7" t="s">
        <v>64</v>
      </c>
      <c r="P28" s="3">
        <v>43.416666666666664</v>
      </c>
      <c r="R28" s="7" t="s">
        <v>64</v>
      </c>
      <c r="S28" s="3">
        <v>7.5</v>
      </c>
    </row>
    <row r="29" spans="12:19" x14ac:dyDescent="0.25">
      <c r="L29" s="16">
        <v>45040</v>
      </c>
      <c r="M29" s="1">
        <v>14</v>
      </c>
      <c r="O29" s="7" t="s">
        <v>65</v>
      </c>
      <c r="P29" s="3">
        <v>36.357142857142854</v>
      </c>
      <c r="R29" s="7" t="s">
        <v>65</v>
      </c>
      <c r="S29" s="3">
        <v>5.2857142857142856</v>
      </c>
    </row>
    <row r="30" spans="12:19" x14ac:dyDescent="0.25">
      <c r="L30" s="16">
        <v>45041</v>
      </c>
      <c r="M30" s="1">
        <v>18</v>
      </c>
      <c r="O30" s="7" t="s">
        <v>66</v>
      </c>
      <c r="P30" s="3">
        <v>40.611111111111114</v>
      </c>
      <c r="R30" s="7" t="s">
        <v>66</v>
      </c>
      <c r="S30" s="3">
        <v>2.875</v>
      </c>
    </row>
    <row r="31" spans="12:19" x14ac:dyDescent="0.25">
      <c r="L31" s="16">
        <v>45042</v>
      </c>
      <c r="M31" s="1">
        <v>16</v>
      </c>
      <c r="O31" s="7" t="s">
        <v>67</v>
      </c>
      <c r="P31" s="3">
        <v>29.875</v>
      </c>
      <c r="R31" s="7" t="s">
        <v>67</v>
      </c>
      <c r="S31" s="3">
        <v>6.25</v>
      </c>
    </row>
    <row r="32" spans="12:19" x14ac:dyDescent="0.25">
      <c r="L32" s="16">
        <v>45043</v>
      </c>
      <c r="M32" s="1">
        <v>16</v>
      </c>
      <c r="O32" s="7" t="s">
        <v>68</v>
      </c>
      <c r="P32" s="3">
        <v>33.5</v>
      </c>
      <c r="R32" s="7" t="s">
        <v>68</v>
      </c>
      <c r="S32" s="3">
        <v>6.125</v>
      </c>
    </row>
    <row r="33" spans="1:19" x14ac:dyDescent="0.25">
      <c r="L33" s="16">
        <v>45044</v>
      </c>
      <c r="M33" s="1">
        <v>16</v>
      </c>
      <c r="O33" s="7" t="s">
        <v>69</v>
      </c>
      <c r="P33" s="3">
        <v>32.5625</v>
      </c>
      <c r="R33" s="7" t="s">
        <v>69</v>
      </c>
      <c r="S33" s="3">
        <v>5.75</v>
      </c>
    </row>
    <row r="34" spans="1:19" x14ac:dyDescent="0.25">
      <c r="L34" s="16">
        <v>45045</v>
      </c>
      <c r="M34" s="1">
        <v>14</v>
      </c>
      <c r="O34" s="7" t="s">
        <v>70</v>
      </c>
      <c r="P34" s="3">
        <v>38.571428571428569</v>
      </c>
      <c r="R34" s="7" t="s">
        <v>70</v>
      </c>
      <c r="S34" s="3">
        <v>5.375</v>
      </c>
    </row>
    <row r="35" spans="1:19" x14ac:dyDescent="0.25">
      <c r="L35" s="16">
        <v>45046</v>
      </c>
      <c r="M35" s="1">
        <v>14</v>
      </c>
      <c r="O35" s="7" t="s">
        <v>71</v>
      </c>
      <c r="P35" s="3">
        <v>32.714285714285715</v>
      </c>
      <c r="R35" s="7" t="s">
        <v>71</v>
      </c>
      <c r="S35" s="3">
        <v>5.6</v>
      </c>
    </row>
    <row r="36" spans="1:19" x14ac:dyDescent="0.25">
      <c r="L36" s="7" t="s">
        <v>4</v>
      </c>
      <c r="M36" s="1">
        <v>479</v>
      </c>
      <c r="O36" s="7" t="s">
        <v>4</v>
      </c>
      <c r="P36" s="3">
        <v>34.90187891440501</v>
      </c>
      <c r="R36" s="7" t="s">
        <v>4</v>
      </c>
      <c r="S36" s="3">
        <v>5.3034482758620687</v>
      </c>
    </row>
    <row r="41" spans="1:19" x14ac:dyDescent="0.25">
      <c r="A41" s="6" t="s">
        <v>5</v>
      </c>
      <c r="B41" t="s">
        <v>31</v>
      </c>
      <c r="C41" t="s">
        <v>32</v>
      </c>
    </row>
    <row r="42" spans="1:19" x14ac:dyDescent="0.25">
      <c r="A42" s="7" t="s">
        <v>15</v>
      </c>
      <c r="B42" s="3">
        <v>237</v>
      </c>
      <c r="C42" s="9">
        <v>0.49478079331941544</v>
      </c>
    </row>
    <row r="43" spans="1:19" x14ac:dyDescent="0.25">
      <c r="A43" s="7" t="s">
        <v>10</v>
      </c>
      <c r="B43" s="3">
        <v>242</v>
      </c>
      <c r="C43" s="9">
        <v>0.50521920668058451</v>
      </c>
    </row>
    <row r="44" spans="1:19" x14ac:dyDescent="0.25">
      <c r="A44" s="7" t="s">
        <v>4</v>
      </c>
      <c r="B44" s="3">
        <v>479</v>
      </c>
      <c r="C44" s="9">
        <v>1</v>
      </c>
    </row>
    <row r="48" spans="1:19" x14ac:dyDescent="0.25">
      <c r="A48" s="13" t="s">
        <v>33</v>
      </c>
      <c r="B48" s="13" t="s">
        <v>35</v>
      </c>
      <c r="C48" s="13" t="s">
        <v>34</v>
      </c>
      <c r="D48" s="14"/>
      <c r="E48" s="14"/>
      <c r="F48" s="10"/>
    </row>
    <row r="49" spans="1:7" x14ac:dyDescent="0.25">
      <c r="A49" s="11" t="str">
        <f>A42</f>
        <v>Admitted</v>
      </c>
      <c r="B49" s="11">
        <f t="shared" ref="B49:C49" si="0">B42</f>
        <v>237</v>
      </c>
      <c r="C49" s="12">
        <f t="shared" si="0"/>
        <v>0.49478079331941544</v>
      </c>
    </row>
    <row r="50" spans="1:7" x14ac:dyDescent="0.25">
      <c r="A50" s="11" t="str">
        <f>A43</f>
        <v>Not Admitted</v>
      </c>
      <c r="B50" s="11">
        <f t="shared" ref="B50:C50" si="1">B43</f>
        <v>242</v>
      </c>
      <c r="C50" s="12">
        <f t="shared" si="1"/>
        <v>0.50521920668058451</v>
      </c>
    </row>
    <row r="52" spans="1:7" x14ac:dyDescent="0.25">
      <c r="A52" t="s">
        <v>37</v>
      </c>
    </row>
    <row r="53" spans="1:7" x14ac:dyDescent="0.25">
      <c r="A53" s="6" t="s">
        <v>5</v>
      </c>
      <c r="B53" t="s">
        <v>36</v>
      </c>
      <c r="F53" s="6" t="s">
        <v>5</v>
      </c>
      <c r="G53" t="s">
        <v>38</v>
      </c>
    </row>
    <row r="54" spans="1:7" x14ac:dyDescent="0.25">
      <c r="A54" s="7" t="s">
        <v>16</v>
      </c>
      <c r="B54" s="8">
        <v>70</v>
      </c>
      <c r="F54" s="7" t="s">
        <v>12</v>
      </c>
      <c r="G54" s="8">
        <v>273</v>
      </c>
    </row>
    <row r="55" spans="1:7" x14ac:dyDescent="0.25">
      <c r="A55" s="7" t="s">
        <v>18</v>
      </c>
      <c r="B55" s="8">
        <v>67</v>
      </c>
      <c r="F55" s="7" t="s">
        <v>17</v>
      </c>
      <c r="G55" s="8">
        <v>206</v>
      </c>
    </row>
    <row r="56" spans="1:7" x14ac:dyDescent="0.25">
      <c r="A56" s="7" t="s">
        <v>20</v>
      </c>
      <c r="B56" s="8">
        <v>64</v>
      </c>
      <c r="F56" s="7" t="s">
        <v>4</v>
      </c>
      <c r="G56" s="8">
        <v>479</v>
      </c>
    </row>
    <row r="57" spans="1:7" x14ac:dyDescent="0.25">
      <c r="A57" s="7" t="s">
        <v>22</v>
      </c>
      <c r="B57" s="8">
        <v>60</v>
      </c>
    </row>
    <row r="58" spans="1:7" x14ac:dyDescent="0.25">
      <c r="A58" s="7" t="s">
        <v>11</v>
      </c>
      <c r="B58" s="8">
        <v>42</v>
      </c>
    </row>
    <row r="59" spans="1:7" x14ac:dyDescent="0.25">
      <c r="A59" s="7" t="s">
        <v>13</v>
      </c>
      <c r="B59" s="8">
        <v>53</v>
      </c>
    </row>
    <row r="60" spans="1:7" x14ac:dyDescent="0.25">
      <c r="A60" s="7" t="s">
        <v>26</v>
      </c>
      <c r="B60" s="8">
        <v>71</v>
      </c>
    </row>
    <row r="61" spans="1:7" x14ac:dyDescent="0.25">
      <c r="A61" s="7" t="s">
        <v>24</v>
      </c>
      <c r="B61" s="8">
        <v>52</v>
      </c>
      <c r="F61" s="6" t="s">
        <v>5</v>
      </c>
      <c r="G61" t="s">
        <v>39</v>
      </c>
    </row>
    <row r="62" spans="1:7" x14ac:dyDescent="0.25">
      <c r="A62" s="7" t="s">
        <v>4</v>
      </c>
      <c r="B62" s="8">
        <v>479</v>
      </c>
      <c r="F62" s="7" t="s">
        <v>8</v>
      </c>
      <c r="G62" s="8">
        <v>235</v>
      </c>
    </row>
    <row r="63" spans="1:7" x14ac:dyDescent="0.25">
      <c r="F63" s="7" t="s">
        <v>14</v>
      </c>
      <c r="G63" s="8">
        <v>244</v>
      </c>
    </row>
    <row r="64" spans="1:7" x14ac:dyDescent="0.25">
      <c r="F64" s="7" t="s">
        <v>4</v>
      </c>
      <c r="G64" s="8">
        <v>479</v>
      </c>
    </row>
    <row r="68" spans="1:7" x14ac:dyDescent="0.25">
      <c r="F68" s="6" t="s">
        <v>5</v>
      </c>
      <c r="G68" t="s">
        <v>40</v>
      </c>
    </row>
    <row r="69" spans="1:7" x14ac:dyDescent="0.25">
      <c r="F69" s="7" t="s">
        <v>30</v>
      </c>
      <c r="G69" s="8">
        <v>4</v>
      </c>
    </row>
    <row r="70" spans="1:7" x14ac:dyDescent="0.25">
      <c r="A70" s="6" t="s">
        <v>5</v>
      </c>
      <c r="F70" s="7" t="s">
        <v>23</v>
      </c>
      <c r="G70" s="8">
        <v>11</v>
      </c>
    </row>
    <row r="71" spans="1:7" x14ac:dyDescent="0.25">
      <c r="A71" s="7" t="s">
        <v>41</v>
      </c>
      <c r="F71" s="7" t="s">
        <v>27</v>
      </c>
      <c r="G71" s="8">
        <v>11</v>
      </c>
    </row>
    <row r="72" spans="1:7" x14ac:dyDescent="0.25">
      <c r="A72" s="7" t="s">
        <v>4</v>
      </c>
      <c r="F72" s="7" t="s">
        <v>28</v>
      </c>
      <c r="G72" s="8">
        <v>12</v>
      </c>
    </row>
    <row r="73" spans="1:7" x14ac:dyDescent="0.25">
      <c r="F73" s="7" t="s">
        <v>29</v>
      </c>
      <c r="G73" s="8">
        <v>18</v>
      </c>
    </row>
    <row r="74" spans="1:7" x14ac:dyDescent="0.25">
      <c r="F74" s="7" t="s">
        <v>21</v>
      </c>
      <c r="G74" s="8">
        <v>45</v>
      </c>
    </row>
    <row r="75" spans="1:7" x14ac:dyDescent="0.25">
      <c r="F75" s="7" t="s">
        <v>19</v>
      </c>
      <c r="G75" s="8">
        <v>115</v>
      </c>
    </row>
    <row r="76" spans="1:7" x14ac:dyDescent="0.25">
      <c r="F76" s="7" t="s">
        <v>9</v>
      </c>
      <c r="G76" s="8">
        <v>263</v>
      </c>
    </row>
    <row r="77" spans="1:7" x14ac:dyDescent="0.25">
      <c r="F77" s="7" t="s">
        <v>4</v>
      </c>
      <c r="G77" s="8">
        <v>479</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22"/>
  <sheetViews>
    <sheetView showGridLines="0" tabSelected="1" workbookViewId="0">
      <selection activeCell="R4" sqref="R4"/>
    </sheetView>
  </sheetViews>
  <sheetFormatPr defaultRowHeight="15" x14ac:dyDescent="0.25"/>
  <cols>
    <col min="16" max="16" width="9.140625" style="5"/>
  </cols>
  <sheetData>
    <row r="1" spans="1:21" x14ac:dyDescent="0.25">
      <c r="A1" s="2"/>
      <c r="B1" s="2"/>
      <c r="C1" s="2"/>
      <c r="D1" s="2"/>
      <c r="E1" s="2"/>
      <c r="F1" s="2"/>
      <c r="G1" s="2"/>
      <c r="H1" s="2"/>
      <c r="I1" s="2"/>
      <c r="J1" s="2"/>
      <c r="K1" s="2"/>
      <c r="L1" s="2"/>
      <c r="M1" s="2"/>
      <c r="N1" s="2"/>
      <c r="O1" s="2"/>
      <c r="P1" s="4"/>
    </row>
    <row r="2" spans="1:21" x14ac:dyDescent="0.25">
      <c r="A2" s="2"/>
      <c r="B2" s="2"/>
      <c r="C2" s="2"/>
      <c r="D2" s="2"/>
      <c r="E2" s="2"/>
      <c r="F2" s="2"/>
      <c r="G2" s="2"/>
      <c r="H2" s="2"/>
      <c r="I2" s="2"/>
      <c r="J2" s="2"/>
      <c r="K2" s="2"/>
      <c r="L2" s="2"/>
      <c r="M2" s="2"/>
      <c r="N2" s="2"/>
      <c r="O2" s="2"/>
      <c r="P2" s="4"/>
    </row>
    <row r="3" spans="1:21" x14ac:dyDescent="0.25">
      <c r="A3" s="2"/>
      <c r="B3" s="2"/>
      <c r="C3" s="2"/>
      <c r="D3" s="2"/>
      <c r="E3" s="2"/>
      <c r="F3" s="2"/>
      <c r="G3" s="2"/>
      <c r="H3" s="2"/>
      <c r="I3" s="2"/>
      <c r="J3" s="2"/>
      <c r="K3" s="2"/>
      <c r="L3" s="2"/>
      <c r="M3" s="2"/>
      <c r="N3" s="2"/>
      <c r="O3" s="2"/>
      <c r="P3" s="4"/>
    </row>
    <row r="4" spans="1:21" x14ac:dyDescent="0.25">
      <c r="A4" s="2"/>
      <c r="B4" s="2"/>
      <c r="C4" s="2"/>
      <c r="D4" s="2"/>
      <c r="E4" s="2"/>
      <c r="F4" s="2"/>
      <c r="G4" s="2"/>
      <c r="H4" s="2"/>
      <c r="I4" s="2"/>
      <c r="J4" s="2"/>
      <c r="K4" s="2"/>
      <c r="L4" s="2"/>
      <c r="M4" s="2"/>
      <c r="N4" s="2"/>
      <c r="O4" s="2"/>
      <c r="P4" s="4"/>
    </row>
    <row r="5" spans="1:21" x14ac:dyDescent="0.25">
      <c r="A5" s="2"/>
      <c r="B5" s="2"/>
      <c r="C5" s="2"/>
      <c r="D5" s="2"/>
      <c r="E5" s="2"/>
      <c r="F5" s="2"/>
      <c r="G5" s="2"/>
      <c r="H5" s="2"/>
      <c r="I5" s="2"/>
      <c r="J5" s="2"/>
      <c r="K5" s="2"/>
      <c r="L5" s="2"/>
      <c r="M5" s="2"/>
      <c r="N5" s="2"/>
      <c r="O5" s="2"/>
      <c r="P5" s="4"/>
    </row>
    <row r="6" spans="1:21" x14ac:dyDescent="0.25">
      <c r="A6" s="2"/>
      <c r="B6" s="2"/>
      <c r="C6" s="2"/>
      <c r="D6" s="2"/>
      <c r="E6" s="2"/>
      <c r="F6" s="2"/>
      <c r="G6" s="2"/>
      <c r="H6" s="2"/>
      <c r="I6" s="2"/>
      <c r="J6" s="2"/>
      <c r="K6" s="2"/>
      <c r="L6" s="2"/>
      <c r="M6" s="2"/>
      <c r="N6" s="2"/>
      <c r="O6" s="2"/>
      <c r="P6" s="4"/>
    </row>
    <row r="7" spans="1:21" x14ac:dyDescent="0.25">
      <c r="A7" s="2"/>
      <c r="B7" s="2"/>
      <c r="C7" s="2"/>
      <c r="D7" s="2"/>
      <c r="E7" s="2"/>
      <c r="F7" s="2"/>
      <c r="G7" s="2"/>
      <c r="H7" s="2"/>
      <c r="I7" s="2"/>
      <c r="J7" s="2"/>
      <c r="K7" s="2"/>
      <c r="L7" s="2"/>
      <c r="M7" s="2"/>
      <c r="N7" s="2"/>
      <c r="O7" s="2"/>
      <c r="P7" s="4"/>
    </row>
    <row r="8" spans="1:21" x14ac:dyDescent="0.25">
      <c r="A8" s="2"/>
      <c r="B8" s="2"/>
      <c r="C8" s="2"/>
      <c r="D8" s="2"/>
      <c r="E8" s="2"/>
      <c r="F8" s="2"/>
      <c r="G8" s="2"/>
      <c r="H8" s="2"/>
      <c r="I8" s="2"/>
      <c r="J8" s="2"/>
      <c r="K8" s="2"/>
      <c r="L8" s="2"/>
      <c r="M8" s="2"/>
      <c r="N8" s="2"/>
      <c r="O8" s="2"/>
      <c r="P8" s="4"/>
    </row>
    <row r="9" spans="1:21" x14ac:dyDescent="0.25">
      <c r="A9" s="2"/>
      <c r="B9" s="2"/>
      <c r="C9" s="2"/>
      <c r="D9" s="2"/>
      <c r="E9" s="2"/>
      <c r="F9" s="2"/>
      <c r="G9" s="2"/>
      <c r="H9" s="2"/>
      <c r="I9" s="2"/>
      <c r="J9" s="2"/>
      <c r="K9" s="2"/>
      <c r="L9" s="2"/>
      <c r="M9" s="2"/>
      <c r="N9" s="2"/>
      <c r="O9" s="2"/>
      <c r="P9" s="4"/>
    </row>
    <row r="10" spans="1:21" x14ac:dyDescent="0.25">
      <c r="A10" s="2"/>
      <c r="B10" s="2"/>
      <c r="C10" s="2"/>
      <c r="D10" s="2"/>
      <c r="E10" s="2"/>
      <c r="F10" s="2"/>
      <c r="G10" s="2"/>
      <c r="H10" s="2"/>
      <c r="I10" s="2"/>
      <c r="J10" s="2"/>
      <c r="K10" s="2"/>
      <c r="L10" s="2"/>
      <c r="M10" s="2"/>
      <c r="N10" s="2"/>
      <c r="O10" s="2"/>
      <c r="P10" s="4"/>
    </row>
    <row r="11" spans="1:21" x14ac:dyDescent="0.25">
      <c r="A11" s="2"/>
      <c r="B11" s="2"/>
      <c r="C11" s="2"/>
      <c r="D11" s="2"/>
      <c r="E11" s="2"/>
      <c r="F11" s="2"/>
      <c r="G11" s="2"/>
      <c r="H11" s="2"/>
      <c r="I11" s="2"/>
      <c r="J11" s="2"/>
      <c r="K11" s="2"/>
      <c r="L11" s="2"/>
      <c r="M11" s="2"/>
      <c r="N11" s="2"/>
      <c r="O11" s="2"/>
      <c r="P11" s="4"/>
      <c r="T11" s="4"/>
      <c r="U11" s="15"/>
    </row>
    <row r="12" spans="1:21" x14ac:dyDescent="0.25">
      <c r="A12" s="2"/>
      <c r="B12" s="2"/>
      <c r="C12" s="2"/>
      <c r="D12" s="2"/>
      <c r="E12" s="2"/>
      <c r="F12" s="2"/>
      <c r="G12" s="2"/>
      <c r="H12" s="2"/>
      <c r="I12" s="2"/>
      <c r="J12" s="2"/>
      <c r="K12" s="2"/>
      <c r="L12" s="2"/>
      <c r="M12" s="2"/>
      <c r="N12" s="2"/>
      <c r="O12" s="2"/>
      <c r="P12" s="4"/>
    </row>
    <row r="13" spans="1:21" x14ac:dyDescent="0.25">
      <c r="A13" s="2"/>
      <c r="B13" s="2"/>
      <c r="C13" s="2"/>
      <c r="D13" s="2"/>
      <c r="E13" s="2"/>
      <c r="F13" s="2"/>
      <c r="G13" s="2"/>
      <c r="H13" s="2"/>
      <c r="I13" s="2"/>
      <c r="J13" s="2"/>
      <c r="K13" s="2"/>
      <c r="L13" s="2"/>
      <c r="M13" s="2"/>
      <c r="N13" s="2"/>
      <c r="O13" s="2"/>
      <c r="P13" s="4"/>
    </row>
    <row r="14" spans="1:21" x14ac:dyDescent="0.25">
      <c r="A14" s="2"/>
      <c r="B14" s="2"/>
      <c r="C14" s="2"/>
      <c r="D14" s="2"/>
      <c r="E14" s="2"/>
      <c r="F14" s="2"/>
      <c r="G14" s="2"/>
      <c r="H14" s="2"/>
      <c r="I14" s="2"/>
      <c r="J14" s="2"/>
      <c r="K14" s="2"/>
      <c r="L14" s="2"/>
      <c r="M14" s="2"/>
      <c r="N14" s="2"/>
      <c r="O14" s="2"/>
      <c r="P14" s="4"/>
    </row>
    <row r="15" spans="1:21" x14ac:dyDescent="0.25">
      <c r="A15" s="2"/>
      <c r="B15" s="2"/>
      <c r="C15" s="2"/>
      <c r="D15" s="2"/>
      <c r="E15" s="2"/>
      <c r="F15" s="2"/>
      <c r="G15" s="2"/>
      <c r="H15" s="2"/>
      <c r="I15" s="2"/>
      <c r="J15" s="2"/>
      <c r="K15" s="2"/>
      <c r="L15" s="2"/>
      <c r="M15" s="2"/>
      <c r="N15" s="2"/>
      <c r="O15" s="2"/>
      <c r="P15" s="4"/>
    </row>
    <row r="16" spans="1:21" x14ac:dyDescent="0.25">
      <c r="A16" s="2"/>
      <c r="B16" s="2"/>
      <c r="C16" s="2"/>
      <c r="D16" s="2"/>
      <c r="E16" s="2"/>
      <c r="F16" s="2"/>
      <c r="G16" s="2"/>
      <c r="H16" s="2"/>
      <c r="I16" s="2"/>
      <c r="J16" s="2"/>
      <c r="K16" s="2"/>
      <c r="L16" s="2"/>
      <c r="M16" s="2"/>
      <c r="N16" s="2"/>
      <c r="O16" s="2"/>
      <c r="P16" s="15"/>
    </row>
    <row r="17" spans="1:16" x14ac:dyDescent="0.25">
      <c r="A17" s="2"/>
      <c r="B17" s="2"/>
      <c r="C17" s="2"/>
      <c r="D17" s="2"/>
      <c r="E17" s="2"/>
      <c r="F17" s="2"/>
      <c r="G17" s="2"/>
      <c r="H17" s="2"/>
      <c r="I17" s="2"/>
      <c r="J17" s="2"/>
      <c r="K17" s="2"/>
      <c r="L17" s="2"/>
      <c r="M17" s="2"/>
      <c r="N17" s="2"/>
      <c r="O17" s="2"/>
      <c r="P17" s="4"/>
    </row>
    <row r="18" spans="1:16" x14ac:dyDescent="0.25">
      <c r="A18" s="2"/>
      <c r="B18" s="2"/>
      <c r="C18" s="2"/>
      <c r="D18" s="2"/>
      <c r="E18" s="2"/>
      <c r="F18" s="2"/>
      <c r="G18" s="2"/>
      <c r="H18" s="2"/>
      <c r="I18" s="2"/>
      <c r="J18" s="2"/>
      <c r="K18" s="2"/>
      <c r="L18" s="2"/>
      <c r="M18" s="2"/>
      <c r="N18" s="2"/>
      <c r="O18" s="2"/>
      <c r="P18" s="4"/>
    </row>
    <row r="19" spans="1:16" x14ac:dyDescent="0.25">
      <c r="A19" s="2"/>
      <c r="B19" s="2"/>
      <c r="C19" s="2"/>
      <c r="D19" s="2"/>
      <c r="E19" s="2"/>
      <c r="F19" s="2"/>
      <c r="G19" s="2"/>
      <c r="H19" s="2"/>
      <c r="I19" s="2"/>
      <c r="J19" s="2"/>
      <c r="K19" s="2"/>
      <c r="L19" s="2"/>
      <c r="M19" s="2"/>
      <c r="N19" s="2"/>
      <c r="O19" s="2"/>
      <c r="P19" s="4"/>
    </row>
    <row r="20" spans="1:16" x14ac:dyDescent="0.25">
      <c r="A20" s="2"/>
      <c r="B20" s="2"/>
      <c r="C20" s="2"/>
      <c r="D20" s="2"/>
      <c r="E20" s="2"/>
      <c r="F20" s="2"/>
      <c r="G20" s="2"/>
      <c r="H20" s="2"/>
      <c r="I20" s="2"/>
      <c r="J20" s="2"/>
      <c r="K20" s="2"/>
      <c r="L20" s="2"/>
      <c r="M20" s="2"/>
      <c r="N20" s="2"/>
      <c r="O20" s="2"/>
      <c r="P20" s="4"/>
    </row>
    <row r="21" spans="1:16" x14ac:dyDescent="0.25">
      <c r="A21" s="2"/>
      <c r="B21" s="2"/>
      <c r="C21" s="2"/>
      <c r="D21" s="2"/>
      <c r="E21" s="2"/>
      <c r="F21" s="2"/>
      <c r="G21" s="2"/>
      <c r="H21" s="2"/>
      <c r="I21" s="2"/>
      <c r="J21" s="2"/>
      <c r="K21" s="2"/>
      <c r="L21" s="2"/>
      <c r="M21" s="2"/>
      <c r="N21" s="2"/>
      <c r="O21" s="2"/>
      <c r="P21" s="4"/>
    </row>
    <row r="22" spans="1:16" x14ac:dyDescent="0.25">
      <c r="A22" s="2"/>
      <c r="B22" s="2"/>
      <c r="C22" s="2"/>
      <c r="D22" s="2"/>
      <c r="E22" s="2"/>
      <c r="F22" s="2"/>
      <c r="G22" s="2"/>
      <c r="H22" s="2"/>
      <c r="I22" s="2"/>
      <c r="J22" s="2"/>
      <c r="K22" s="2"/>
      <c r="L22" s="2"/>
      <c r="M22" s="2"/>
      <c r="N22" s="2"/>
      <c r="O22" s="2"/>
      <c r="P22" s="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O10" sqref="O10"/>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3" sqref="A3"/>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DA2B574-3830-4766-8ACF-CB22ED82037A}">
  <ds:schemaRefs/>
</ds:datastoreItem>
</file>

<file path=customXml/itemProps2.xml><?xml version="1.0" encoding="utf-8"?>
<ds:datastoreItem xmlns:ds="http://schemas.openxmlformats.org/officeDocument/2006/customXml" ds:itemID="{799CE60D-A06B-4117-AC68-7F5497A1E764}">
  <ds:schemaRefs/>
</ds:datastoreItem>
</file>

<file path=customXml/itemProps3.xml><?xml version="1.0" encoding="utf-8"?>
<ds:datastoreItem xmlns:ds="http://schemas.openxmlformats.org/officeDocument/2006/customXml" ds:itemID="{69E10409-26D8-4C5E-8B92-09CB06A572C9}">
  <ds:schemaRefs/>
</ds:datastoreItem>
</file>

<file path=customXml/itemProps4.xml><?xml version="1.0" encoding="utf-8"?>
<ds:datastoreItem xmlns:ds="http://schemas.openxmlformats.org/officeDocument/2006/customXml" ds:itemID="{1BA1296D-35D0-4157-9FD3-58179F3DD823}">
  <ds:schemaRefs/>
</ds:datastoreItem>
</file>

<file path=customXml/itemProps5.xml><?xml version="1.0" encoding="utf-8"?>
<ds:datastoreItem xmlns:ds="http://schemas.openxmlformats.org/officeDocument/2006/customXml" ds:itemID="{29FA2D34-4C26-494C-AFE6-76BECC44D1F4}">
  <ds:schemaRefs/>
</ds:datastoreItem>
</file>

<file path=customXml/itemProps6.xml><?xml version="1.0" encoding="utf-8"?>
<ds:datastoreItem xmlns:ds="http://schemas.openxmlformats.org/officeDocument/2006/customXml" ds:itemID="{A78F1FFD-1333-4098-9471-4AA8C3112002}">
  <ds:schemaRefs/>
</ds:datastoreItem>
</file>

<file path=customXml/itemProps7.xml><?xml version="1.0" encoding="utf-8"?>
<ds:datastoreItem xmlns:ds="http://schemas.openxmlformats.org/officeDocument/2006/customXml" ds:itemID="{8594CF79-3DE2-4A5A-B5A8-5B365D84320F}">
  <ds:schemaRefs/>
</ds:datastoreItem>
</file>

<file path=customXml/itemProps8.xml><?xml version="1.0" encoding="utf-8"?>
<ds:datastoreItem xmlns:ds="http://schemas.openxmlformats.org/officeDocument/2006/customXml" ds:itemID="{DF5D4B3C-88EA-4B5E-B754-5007DD065093}">
  <ds:schemaRefs/>
</ds:datastoreItem>
</file>

<file path=customXml/itemProps9.xml><?xml version="1.0" encoding="utf-8"?>
<ds:datastoreItem xmlns:ds="http://schemas.openxmlformats.org/officeDocument/2006/customXml" ds:itemID="{5526599F-C8E7-4439-A719-8A79C70E2439}">
  <ds:schemaRefs/>
</ds:datastoreItem>
</file>

<file path=customXml/itemProps10.xml><?xml version="1.0" encoding="utf-8"?>
<ds:datastoreItem xmlns:ds="http://schemas.openxmlformats.org/officeDocument/2006/customXml" ds:itemID="{95142A0B-E87F-49EE-BE24-55ED58F2817C}">
  <ds:schemaRefs/>
</ds:datastoreItem>
</file>

<file path=customXml/itemProps11.xml><?xml version="1.0" encoding="utf-8"?>
<ds:datastoreItem xmlns:ds="http://schemas.openxmlformats.org/officeDocument/2006/customXml" ds:itemID="{91499CB7-0A40-40D8-8A62-2A6C30D28A50}">
  <ds:schemaRefs/>
</ds:datastoreItem>
</file>

<file path=customXml/itemProps12.xml><?xml version="1.0" encoding="utf-8"?>
<ds:datastoreItem xmlns:ds="http://schemas.openxmlformats.org/officeDocument/2006/customXml" ds:itemID="{35F153A4-2D46-4353-A99F-CE92BBEF71BE}">
  <ds:schemaRefs/>
</ds:datastoreItem>
</file>

<file path=customXml/itemProps13.xml><?xml version="1.0" encoding="utf-8"?>
<ds:datastoreItem xmlns:ds="http://schemas.openxmlformats.org/officeDocument/2006/customXml" ds:itemID="{C1F4DA74-AF02-45B3-9147-1CB607EE8671}">
  <ds:schemaRefs/>
</ds:datastoreItem>
</file>

<file path=customXml/itemProps14.xml><?xml version="1.0" encoding="utf-8"?>
<ds:datastoreItem xmlns:ds="http://schemas.openxmlformats.org/officeDocument/2006/customXml" ds:itemID="{D46C0C2C-075D-4813-96AF-AD67FEFD68A0}">
  <ds:schemaRefs/>
</ds:datastoreItem>
</file>

<file path=customXml/itemProps15.xml><?xml version="1.0" encoding="utf-8"?>
<ds:datastoreItem xmlns:ds="http://schemas.openxmlformats.org/officeDocument/2006/customXml" ds:itemID="{A2FCE4C3-688C-46A5-AD74-F6823B41C3E5}">
  <ds:schemaRefs/>
</ds:datastoreItem>
</file>

<file path=customXml/itemProps16.xml><?xml version="1.0" encoding="utf-8"?>
<ds:datastoreItem xmlns:ds="http://schemas.openxmlformats.org/officeDocument/2006/customXml" ds:itemID="{BADD5017-112A-4347-91E2-88212251859A}">
  <ds:schemaRefs/>
</ds:datastoreItem>
</file>

<file path=customXml/itemProps17.xml><?xml version="1.0" encoding="utf-8"?>
<ds:datastoreItem xmlns:ds="http://schemas.openxmlformats.org/officeDocument/2006/customXml" ds:itemID="{6E076BF3-56C4-475A-A947-78882F0EEC86}">
  <ds:schemaRefs/>
</ds:datastoreItem>
</file>

<file path=customXml/itemProps18.xml><?xml version="1.0" encoding="utf-8"?>
<ds:datastoreItem xmlns:ds="http://schemas.openxmlformats.org/officeDocument/2006/customXml" ds:itemID="{DFDCCC4C-D5CC-44D6-86CA-02A84BCA2E2C}">
  <ds:schemaRefs/>
</ds:datastoreItem>
</file>

<file path=customXml/itemProps19.xml><?xml version="1.0" encoding="utf-8"?>
<ds:datastoreItem xmlns:ds="http://schemas.openxmlformats.org/officeDocument/2006/customXml" ds:itemID="{2A02062E-EF53-4A42-8075-8E7C2A1BA8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Dasboard</vt:lpstr>
      <vt:lpstr> daily patients of eme room</vt:lpstr>
      <vt:lpstr>Average Waittime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2026-02-10T12:27:35Z</dcterms:created>
  <dcterms:modified xsi:type="dcterms:W3CDTF">2026-02-15T19:03:31Z</dcterms:modified>
</cp:coreProperties>
</file>